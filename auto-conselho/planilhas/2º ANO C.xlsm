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esktop\conselho\planilhas\"/>
    </mc:Choice>
  </mc:AlternateContent>
  <bookViews>
    <workbookView xWindow="0" yWindow="0" windowWidth="28800" windowHeight="14415" activeTab="2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Boletins!$A$1:$N$1410</definedName>
    <definedName name="_xlnm.Print_Titles" localSheetId="0">Acompanhamento!$1:$15</definedName>
  </definedNames>
  <calcPr calcId="162913"/>
</workbook>
</file>

<file path=xl/calcChain.xml><?xml version="1.0" encoding="utf-8"?>
<calcChain xmlns="http://schemas.openxmlformats.org/spreadsheetml/2006/main">
  <c r="O1408" i="15" l="1"/>
  <c r="O1406" i="15"/>
  <c r="O1401" i="15"/>
  <c r="O1399" i="15"/>
  <c r="O1394" i="15"/>
  <c r="O1392" i="15"/>
  <c r="O1387" i="15"/>
  <c r="O1385" i="15"/>
  <c r="M1382" i="15"/>
  <c r="M1381" i="15"/>
  <c r="M1380" i="15"/>
  <c r="M1379" i="15"/>
  <c r="M1378" i="15"/>
  <c r="M1377" i="15"/>
  <c r="M1376" i="15"/>
  <c r="M1375" i="15"/>
  <c r="M1374" i="15"/>
  <c r="O1361" i="15"/>
  <c r="O1359" i="15"/>
  <c r="O1354" i="15"/>
  <c r="O1352" i="15"/>
  <c r="O1347" i="15"/>
  <c r="O1345" i="15"/>
  <c r="O1340" i="15"/>
  <c r="O1338" i="15"/>
  <c r="M1335" i="15"/>
  <c r="M1334" i="15"/>
  <c r="M1333" i="15"/>
  <c r="M1332" i="15"/>
  <c r="M1331" i="15"/>
  <c r="M1330" i="15"/>
  <c r="M1329" i="15"/>
  <c r="M1328" i="15"/>
  <c r="M1327" i="15"/>
  <c r="O1314" i="15"/>
  <c r="O1312" i="15"/>
  <c r="O1307" i="15"/>
  <c r="O1305" i="15"/>
  <c r="O1300" i="15"/>
  <c r="O1298" i="15"/>
  <c r="O1293" i="15"/>
  <c r="O1291" i="15"/>
  <c r="M1288" i="15"/>
  <c r="M1287" i="15"/>
  <c r="M1286" i="15"/>
  <c r="M1285" i="15"/>
  <c r="M1284" i="15"/>
  <c r="M1283" i="15"/>
  <c r="M1282" i="15"/>
  <c r="M1281" i="15"/>
  <c r="M1280" i="15"/>
  <c r="O1267" i="15"/>
  <c r="O1265" i="15"/>
  <c r="O1260" i="15"/>
  <c r="O1258" i="15"/>
  <c r="O1253" i="15"/>
  <c r="O1251" i="15"/>
  <c r="O1246" i="15"/>
  <c r="O1244" i="15"/>
  <c r="M1241" i="15"/>
  <c r="M1240" i="15"/>
  <c r="M1239" i="15"/>
  <c r="M1238" i="15"/>
  <c r="M1237" i="15"/>
  <c r="M1236" i="15"/>
  <c r="M1235" i="15"/>
  <c r="M1234" i="15"/>
  <c r="M1233" i="15"/>
  <c r="O1220" i="15"/>
  <c r="O1218" i="15"/>
  <c r="O1213" i="15"/>
  <c r="O1211" i="15"/>
  <c r="O1206" i="15"/>
  <c r="O1204" i="15"/>
  <c r="O1199" i="15"/>
  <c r="O1197" i="15"/>
  <c r="M1194" i="15"/>
  <c r="M1193" i="15"/>
  <c r="M1192" i="15"/>
  <c r="M1191" i="15"/>
  <c r="M1190" i="15"/>
  <c r="M1189" i="15"/>
  <c r="M1188" i="15"/>
  <c r="M1187" i="15"/>
  <c r="M1186" i="15"/>
  <c r="O1173" i="15"/>
  <c r="O1171" i="15"/>
  <c r="O1166" i="15"/>
  <c r="O1164" i="15"/>
  <c r="O1159" i="15"/>
  <c r="O1157" i="15"/>
  <c r="O1152" i="15"/>
  <c r="O1150" i="15"/>
  <c r="M1147" i="15"/>
  <c r="M1146" i="15"/>
  <c r="M1145" i="15"/>
  <c r="M1144" i="15"/>
  <c r="M1143" i="15"/>
  <c r="M1142" i="15"/>
  <c r="M1141" i="15"/>
  <c r="M1140" i="15"/>
  <c r="M1139" i="15"/>
  <c r="O1126" i="15"/>
  <c r="O1124" i="15"/>
  <c r="O1119" i="15"/>
  <c r="O1117" i="15"/>
  <c r="O1112" i="15"/>
  <c r="O1110" i="15"/>
  <c r="O1105" i="15"/>
  <c r="O1103" i="15"/>
  <c r="M1100" i="15"/>
  <c r="M1099" i="15"/>
  <c r="M1098" i="15"/>
  <c r="M1097" i="15"/>
  <c r="M1096" i="15"/>
  <c r="M1095" i="15"/>
  <c r="M1094" i="15"/>
  <c r="M1093" i="15"/>
  <c r="M1092" i="15"/>
  <c r="O1079" i="15"/>
  <c r="O1077" i="15"/>
  <c r="O1072" i="15"/>
  <c r="O1070" i="15"/>
  <c r="O1065" i="15"/>
  <c r="O1063" i="15"/>
  <c r="O1058" i="15"/>
  <c r="O1056" i="15"/>
  <c r="M1053" i="15"/>
  <c r="M1052" i="15"/>
  <c r="M1051" i="15"/>
  <c r="M1050" i="15"/>
  <c r="M1049" i="15"/>
  <c r="M1048" i="15"/>
  <c r="M1047" i="15"/>
  <c r="M1046" i="15"/>
  <c r="M1045" i="15"/>
  <c r="O1032" i="15"/>
  <c r="O1030" i="15"/>
  <c r="O1025" i="15"/>
  <c r="O1023" i="15"/>
  <c r="O1018" i="15"/>
  <c r="O1016" i="15"/>
  <c r="O1011" i="15"/>
  <c r="O1009" i="15"/>
  <c r="M1006" i="15"/>
  <c r="M1005" i="15"/>
  <c r="M1004" i="15"/>
  <c r="M1003" i="15"/>
  <c r="M1002" i="15"/>
  <c r="M1001" i="15"/>
  <c r="M1000" i="15"/>
  <c r="M999" i="15"/>
  <c r="M998" i="15"/>
  <c r="O985" i="15"/>
  <c r="O983" i="15"/>
  <c r="O978" i="15"/>
  <c r="O976" i="15"/>
  <c r="O971" i="15"/>
  <c r="O969" i="15"/>
  <c r="O964" i="15"/>
  <c r="O962" i="15"/>
  <c r="M959" i="15"/>
  <c r="M958" i="15"/>
  <c r="M957" i="15"/>
  <c r="M956" i="15"/>
  <c r="M955" i="15"/>
  <c r="M954" i="15"/>
  <c r="M953" i="15"/>
  <c r="M952" i="15"/>
  <c r="M951" i="15"/>
  <c r="O938" i="15"/>
  <c r="O936" i="15"/>
  <c r="O931" i="15"/>
  <c r="O929" i="15"/>
  <c r="O924" i="15"/>
  <c r="O922" i="15"/>
  <c r="O917" i="15"/>
  <c r="O915" i="15"/>
  <c r="M912" i="15"/>
  <c r="M911" i="15"/>
  <c r="M910" i="15"/>
  <c r="M909" i="15"/>
  <c r="M908" i="15"/>
  <c r="M907" i="15"/>
  <c r="M906" i="15"/>
  <c r="M905" i="15"/>
  <c r="M904" i="15"/>
  <c r="O891" i="15"/>
  <c r="O889" i="15"/>
  <c r="O884" i="15"/>
  <c r="O882" i="15"/>
  <c r="O877" i="15"/>
  <c r="O875" i="15"/>
  <c r="O870" i="15"/>
  <c r="O868" i="15"/>
  <c r="M865" i="15"/>
  <c r="M864" i="15"/>
  <c r="M863" i="15"/>
  <c r="M862" i="15"/>
  <c r="M861" i="15"/>
  <c r="M860" i="15"/>
  <c r="M859" i="15"/>
  <c r="M858" i="15"/>
  <c r="M857" i="15"/>
  <c r="O844" i="15"/>
  <c r="O842" i="15"/>
  <c r="O837" i="15"/>
  <c r="O835" i="15"/>
  <c r="O830" i="15"/>
  <c r="O828" i="15"/>
  <c r="O823" i="15"/>
  <c r="O821" i="15"/>
  <c r="M818" i="15"/>
  <c r="M817" i="15"/>
  <c r="M816" i="15"/>
  <c r="M815" i="15"/>
  <c r="M814" i="15"/>
  <c r="M813" i="15"/>
  <c r="M812" i="15"/>
  <c r="M811" i="15"/>
  <c r="M810" i="15"/>
  <c r="O797" i="15"/>
  <c r="O795" i="15"/>
  <c r="O790" i="15"/>
  <c r="O788" i="15"/>
  <c r="O783" i="15"/>
  <c r="O781" i="15"/>
  <c r="O776" i="15"/>
  <c r="O774" i="15"/>
  <c r="M771" i="15"/>
  <c r="M770" i="15"/>
  <c r="M769" i="15"/>
  <c r="M768" i="15"/>
  <c r="M767" i="15"/>
  <c r="M766" i="15"/>
  <c r="M765" i="15"/>
  <c r="M764" i="15"/>
  <c r="M763" i="15"/>
  <c r="O750" i="15"/>
  <c r="O748" i="15"/>
  <c r="O743" i="15"/>
  <c r="O741" i="15"/>
  <c r="O736" i="15"/>
  <c r="O734" i="15"/>
  <c r="O729" i="15"/>
  <c r="O727" i="15"/>
  <c r="M724" i="15"/>
  <c r="M723" i="15"/>
  <c r="M722" i="15"/>
  <c r="M721" i="15"/>
  <c r="M720" i="15"/>
  <c r="M719" i="15"/>
  <c r="M718" i="15"/>
  <c r="M717" i="15"/>
  <c r="M716" i="15"/>
  <c r="O703" i="15"/>
  <c r="O701" i="15"/>
  <c r="O696" i="15"/>
  <c r="O694" i="15"/>
  <c r="O689" i="15"/>
  <c r="O687" i="15"/>
  <c r="O682" i="15"/>
  <c r="O680" i="15"/>
  <c r="M677" i="15"/>
  <c r="M676" i="15"/>
  <c r="M675" i="15"/>
  <c r="M674" i="15"/>
  <c r="M673" i="15"/>
  <c r="M672" i="15"/>
  <c r="M671" i="15"/>
  <c r="M670" i="15"/>
  <c r="M669" i="15"/>
  <c r="O656" i="15"/>
  <c r="O654" i="15"/>
  <c r="O649" i="15"/>
  <c r="O647" i="15"/>
  <c r="O642" i="15"/>
  <c r="O640" i="15"/>
  <c r="O635" i="15"/>
  <c r="O633" i="15"/>
  <c r="M630" i="15"/>
  <c r="M629" i="15"/>
  <c r="M628" i="15"/>
  <c r="M627" i="15"/>
  <c r="M626" i="15"/>
  <c r="M625" i="15"/>
  <c r="M624" i="15"/>
  <c r="M623" i="15"/>
  <c r="M622" i="15"/>
  <c r="O609" i="15"/>
  <c r="O607" i="15"/>
  <c r="O602" i="15"/>
  <c r="O600" i="15"/>
  <c r="O595" i="15"/>
  <c r="O593" i="15"/>
  <c r="O588" i="15"/>
  <c r="O586" i="15"/>
  <c r="M583" i="15"/>
  <c r="M582" i="15"/>
  <c r="M581" i="15"/>
  <c r="M580" i="15"/>
  <c r="M579" i="15"/>
  <c r="M578" i="15"/>
  <c r="M577" i="15"/>
  <c r="M576" i="15"/>
  <c r="M575" i="15"/>
  <c r="O562" i="15"/>
  <c r="O560" i="15"/>
  <c r="O555" i="15"/>
  <c r="O553" i="15"/>
  <c r="O548" i="15"/>
  <c r="O546" i="15"/>
  <c r="O541" i="15"/>
  <c r="O539" i="15"/>
  <c r="M536" i="15"/>
  <c r="M535" i="15"/>
  <c r="M534" i="15"/>
  <c r="M533" i="15"/>
  <c r="M532" i="15"/>
  <c r="M531" i="15"/>
  <c r="M530" i="15"/>
  <c r="M529" i="15"/>
  <c r="M528" i="15"/>
  <c r="O515" i="15"/>
  <c r="O513" i="15"/>
  <c r="O508" i="15"/>
  <c r="O506" i="15"/>
  <c r="O501" i="15"/>
  <c r="O499" i="15"/>
  <c r="O494" i="15"/>
  <c r="O492" i="15"/>
  <c r="M489" i="15"/>
  <c r="M488" i="15"/>
  <c r="M487" i="15"/>
  <c r="M486" i="15"/>
  <c r="M485" i="15"/>
  <c r="M484" i="15"/>
  <c r="M483" i="15"/>
  <c r="M482" i="15"/>
  <c r="M481" i="15"/>
  <c r="O468" i="15"/>
  <c r="O466" i="15"/>
  <c r="O461" i="15"/>
  <c r="O459" i="15"/>
  <c r="O454" i="15"/>
  <c r="O452" i="15"/>
  <c r="O447" i="15"/>
  <c r="O445" i="15"/>
  <c r="M442" i="15"/>
  <c r="M441" i="15"/>
  <c r="M440" i="15"/>
  <c r="M439" i="15"/>
  <c r="M438" i="15"/>
  <c r="M437" i="15"/>
  <c r="M436" i="15"/>
  <c r="M435" i="15"/>
  <c r="M434" i="15"/>
  <c r="O421" i="15"/>
  <c r="O419" i="15"/>
  <c r="O414" i="15"/>
  <c r="O412" i="15"/>
  <c r="O407" i="15"/>
  <c r="O405" i="15"/>
  <c r="O400" i="15"/>
  <c r="O398" i="15"/>
  <c r="M395" i="15"/>
  <c r="M394" i="15"/>
  <c r="M393" i="15"/>
  <c r="M392" i="15"/>
  <c r="M391" i="15"/>
  <c r="M390" i="15"/>
  <c r="M389" i="15"/>
  <c r="M388" i="15"/>
  <c r="M387" i="15"/>
  <c r="O374" i="15"/>
  <c r="O372" i="15"/>
  <c r="O367" i="15"/>
  <c r="O365" i="15"/>
  <c r="O360" i="15"/>
  <c r="O358" i="15"/>
  <c r="O353" i="15"/>
  <c r="O351" i="15"/>
  <c r="M348" i="15"/>
  <c r="M347" i="15"/>
  <c r="M346" i="15"/>
  <c r="M345" i="15"/>
  <c r="M344" i="15"/>
  <c r="M343" i="15"/>
  <c r="M342" i="15"/>
  <c r="M341" i="15"/>
  <c r="M340" i="15"/>
  <c r="O327" i="15"/>
  <c r="O325" i="15"/>
  <c r="O320" i="15"/>
  <c r="O318" i="15"/>
  <c r="O313" i="15"/>
  <c r="O311" i="15"/>
  <c r="O306" i="15"/>
  <c r="O304" i="15"/>
  <c r="M301" i="15"/>
  <c r="M300" i="15"/>
  <c r="M299" i="15"/>
  <c r="M298" i="15"/>
  <c r="M297" i="15"/>
  <c r="M296" i="15"/>
  <c r="M295" i="15"/>
  <c r="M294" i="15"/>
  <c r="M293" i="15"/>
  <c r="O280" i="15"/>
  <c r="O278" i="15"/>
  <c r="O273" i="15"/>
  <c r="O271" i="15"/>
  <c r="O266" i="15"/>
  <c r="O264" i="15"/>
  <c r="O259" i="15"/>
  <c r="O257" i="15"/>
  <c r="M254" i="15"/>
  <c r="M253" i="15"/>
  <c r="M252" i="15"/>
  <c r="M251" i="15"/>
  <c r="M250" i="15"/>
  <c r="M249" i="15"/>
  <c r="M248" i="15"/>
  <c r="M247" i="15"/>
  <c r="M246" i="15"/>
  <c r="O233" i="15"/>
  <c r="O231" i="15"/>
  <c r="O226" i="15"/>
  <c r="O224" i="15"/>
  <c r="O219" i="15"/>
  <c r="O217" i="15"/>
  <c r="O212" i="15"/>
  <c r="O210" i="15"/>
  <c r="M207" i="15"/>
  <c r="M206" i="15"/>
  <c r="M205" i="15"/>
  <c r="M204" i="15"/>
  <c r="M203" i="15"/>
  <c r="M202" i="15"/>
  <c r="M201" i="15"/>
  <c r="M200" i="15"/>
  <c r="M199" i="15"/>
  <c r="O186" i="15"/>
  <c r="O184" i="15"/>
  <c r="O179" i="15"/>
  <c r="O177" i="15"/>
  <c r="O172" i="15"/>
  <c r="O170" i="15"/>
  <c r="O165" i="15"/>
  <c r="O163" i="15"/>
  <c r="M160" i="15"/>
  <c r="M159" i="15"/>
  <c r="M158" i="15"/>
  <c r="M157" i="15"/>
  <c r="M156" i="15"/>
  <c r="M155" i="15"/>
  <c r="M154" i="15"/>
  <c r="M153" i="15"/>
  <c r="M152" i="15"/>
  <c r="O139" i="15"/>
  <c r="O137" i="15"/>
  <c r="O132" i="15"/>
  <c r="O130" i="15"/>
  <c r="O125" i="15"/>
  <c r="O123" i="15"/>
  <c r="O118" i="15"/>
  <c r="O116" i="15"/>
  <c r="M113" i="15"/>
  <c r="M112" i="15"/>
  <c r="M111" i="15"/>
  <c r="M110" i="15"/>
  <c r="M109" i="15"/>
  <c r="M108" i="15"/>
  <c r="M107" i="15"/>
  <c r="M106" i="15"/>
  <c r="M105" i="15"/>
  <c r="O92" i="15"/>
  <c r="O90" i="15"/>
  <c r="O85" i="15"/>
  <c r="O83" i="15"/>
  <c r="O78" i="15"/>
  <c r="O76" i="15"/>
  <c r="O71" i="15"/>
  <c r="O69" i="15"/>
  <c r="M66" i="15"/>
  <c r="M65" i="15"/>
  <c r="M64" i="15"/>
  <c r="M63" i="15"/>
  <c r="M62" i="15"/>
  <c r="M61" i="15"/>
  <c r="M60" i="15"/>
  <c r="M59" i="15"/>
  <c r="M58" i="15"/>
  <c r="O45" i="15"/>
  <c r="O43" i="15"/>
  <c r="O38" i="15"/>
  <c r="O36" i="15"/>
  <c r="O31" i="15"/>
  <c r="O29" i="15"/>
  <c r="O24" i="15"/>
  <c r="O22" i="15"/>
  <c r="M19" i="15"/>
  <c r="M18" i="15"/>
  <c r="M17" i="15"/>
  <c r="M16" i="15"/>
  <c r="M15" i="15"/>
  <c r="M14" i="15"/>
  <c r="M13" i="15"/>
  <c r="M12" i="15"/>
  <c r="M11" i="15"/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<sst xmlns="http://schemas.openxmlformats.org/spreadsheetml/2006/main" count="3120" uniqueCount="126">
  <si>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</si>
  <si>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</si>
  <si>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</si>
  <si>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</si>
  <si>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</si>
  <si>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</si>
  <si>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</si>
  <si>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</si>
  <si>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</si>
  <si>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</si>
  <si>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</si>
  <si>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</si>
  <si>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</si>
  <si>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</si>
  <si>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</si>
  <si>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</si>
  <si>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</si>
  <si>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</si>
  <si>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</si>
  <si>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</si>
  <si>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</si>
  <si>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</si>
  <si>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</si>
  <si>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</si>
  <si>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</si>
  <si>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</si>
  <si>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</si>
  <si>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</si>
  <si>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</si>
  <si>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</si>
  <si>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</si>
  <si>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</si>
  <si>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</si>
  <si>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</si>
  <si>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</si>
  <si>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</si>
  <si>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</si>
  <si>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</si>
  <si>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</si>
  <si>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</si>
  <si>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</si>
  <si>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</si>
  <si>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</si>
  <si>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</si>
  <si>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</si>
  <si>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</si>
  <si>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</si>
  <si>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</si>
  <si>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</si>
  <si>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</si>
  <si>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</si>
  <si>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</si>
  <si>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</si>
  <si>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</si>
  <si>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</si>
  <si>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</si>
  <si>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</si>
  <si>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</si>
  <si>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</si>
  <si>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</si>
  <si>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</si>
  <si>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</si>
  <si>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</si>
  <si>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</si>
  <si>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</si>
  <si>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</si>
  <si>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</si>
  <si>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</si>
  <si>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</si>
  <si>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</si>
  <si>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</si>
  <si>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</si>
  <si>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</si>
  <si>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</si>
  <si>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</si>
  <si>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</si>
  <si>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</si>
  <si>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</si>
  <si>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</si>
  <si>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</si>
  <si>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</si>
  <si>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</si>
  <si>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</si>
  <si>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</si>
  <si>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</si>
  <si>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</si>
  <si>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</si>
  <si>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</si>
  <si>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</si>
  <si>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</si>
  <si>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</si>
  <si>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</si>
  <si>
    <t>2º ANO C</t>
  </si>
  <si>
    <t>JOHN ROSA</t>
  </si>
  <si>
    <t>ALEXANDER MAGNO</t>
  </si>
  <si>
    <t>ALEXANDRE AUGUST OTTO</t>
  </si>
  <si>
    <t>ALEXANDRE TSÉ</t>
  </si>
  <si>
    <t>ANA HEISENBERG</t>
  </si>
  <si>
    <t>CHARLES SHAKESPEARE</t>
  </si>
  <si>
    <t>CONCEIÇÃO AUGUSTO</t>
  </si>
  <si>
    <t>CONFÚCIO PLANCK</t>
  </si>
  <si>
    <t>EVA MAGNO</t>
  </si>
  <si>
    <t>GEORGE SEBASTIAN BACH</t>
  </si>
  <si>
    <t>GREGOR BONAPARTE</t>
  </si>
  <si>
    <t>GUGLIELMO PRADO</t>
  </si>
  <si>
    <t>HENRY FERNANDO VERÍSSIMO</t>
  </si>
  <si>
    <t>JEAN LOCKE</t>
  </si>
  <si>
    <t>JOÃO KLEBER</t>
  </si>
  <si>
    <t>JOÃO WASHINGTON</t>
  </si>
  <si>
    <t>JOHANN DARWIN</t>
  </si>
  <si>
    <t>JOSÉ CONSTANTINO</t>
  </si>
  <si>
    <t>JÚLIO KENNEDY</t>
  </si>
  <si>
    <t>JUSTINIANO EVARISTO</t>
  </si>
  <si>
    <t>MANES WRIGHT</t>
  </si>
  <si>
    <t>MARÇAL CORTÉS</t>
  </si>
  <si>
    <t>MOISÉS MAQUIAVEL</t>
  </si>
  <si>
    <t>NIKOLA GORBACHEV</t>
  </si>
  <si>
    <t>OMAR DAHMER</t>
  </si>
  <si>
    <t>OMAR SHIHUANG</t>
  </si>
  <si>
    <t>OMAR SMITH</t>
  </si>
  <si>
    <t>RAPHAEL MARIA GONÇALVES</t>
  </si>
  <si>
    <t>RENÉ KLEBER</t>
  </si>
  <si>
    <t>THOMAS TESLA</t>
  </si>
  <si>
    <t>EMEF Prof. Agnaldo Timóteo Pereira</t>
  </si>
  <si>
    <t>Paulo César Craveiro Segundo</t>
  </si>
  <si>
    <t>ANO LETIVO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</si>
</sst>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2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24675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</xdr:row>
      <xdr:rowOff>66675</xdr:rowOff>
    </xdr:from>
    <xdr:to>
      <xdr:col>1</xdr:col>
      <xdr:colOff>481875</xdr:colOff>
      <xdr:row>51</xdr:row>
      <xdr:rowOff>24675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</xdr:row>
      <xdr:rowOff>66675</xdr:rowOff>
    </xdr:from>
    <xdr:to>
      <xdr:col>1</xdr:col>
      <xdr:colOff>481875</xdr:colOff>
      <xdr:row>98</xdr:row>
      <xdr:rowOff>24675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141</xdr:row>
      <xdr:rowOff>66675</xdr:rowOff>
    </xdr:from>
    <xdr:to>
      <xdr:col>1</xdr:col>
      <xdr:colOff>481875</xdr:colOff>
      <xdr:row>145</xdr:row>
      <xdr:rowOff>24675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188</xdr:row>
      <xdr:rowOff>66675</xdr:rowOff>
    </xdr:from>
    <xdr:to>
      <xdr:col>1</xdr:col>
      <xdr:colOff>481875</xdr:colOff>
      <xdr:row>192</xdr:row>
      <xdr:rowOff>24675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235</xdr:row>
      <xdr:rowOff>66675</xdr:rowOff>
    </xdr:from>
    <xdr:to>
      <xdr:col>1</xdr:col>
      <xdr:colOff>481875</xdr:colOff>
      <xdr:row>239</xdr:row>
      <xdr:rowOff>24675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282</xdr:row>
      <xdr:rowOff>66675</xdr:rowOff>
    </xdr:from>
    <xdr:to>
      <xdr:col>1</xdr:col>
      <xdr:colOff>481875</xdr:colOff>
      <xdr:row>286</xdr:row>
      <xdr:rowOff>24675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329</xdr:row>
      <xdr:rowOff>66675</xdr:rowOff>
    </xdr:from>
    <xdr:to>
      <xdr:col>1</xdr:col>
      <xdr:colOff>481875</xdr:colOff>
      <xdr:row>333</xdr:row>
      <xdr:rowOff>24675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376</xdr:row>
      <xdr:rowOff>66675</xdr:rowOff>
    </xdr:from>
    <xdr:to>
      <xdr:col>1</xdr:col>
      <xdr:colOff>481875</xdr:colOff>
      <xdr:row>380</xdr:row>
      <xdr:rowOff>24675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423</xdr:row>
      <xdr:rowOff>66675</xdr:rowOff>
    </xdr:from>
    <xdr:to>
      <xdr:col>1</xdr:col>
      <xdr:colOff>481875</xdr:colOff>
      <xdr:row>427</xdr:row>
      <xdr:rowOff>24675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470</xdr:row>
      <xdr:rowOff>66675</xdr:rowOff>
    </xdr:from>
    <xdr:to>
      <xdr:col>1</xdr:col>
      <xdr:colOff>481875</xdr:colOff>
      <xdr:row>474</xdr:row>
      <xdr:rowOff>24675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517</xdr:row>
      <xdr:rowOff>66675</xdr:rowOff>
    </xdr:from>
    <xdr:to>
      <xdr:col>1</xdr:col>
      <xdr:colOff>481875</xdr:colOff>
      <xdr:row>521</xdr:row>
      <xdr:rowOff>24675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564</xdr:row>
      <xdr:rowOff>66675</xdr:rowOff>
    </xdr:from>
    <xdr:to>
      <xdr:col>1</xdr:col>
      <xdr:colOff>481875</xdr:colOff>
      <xdr:row>568</xdr:row>
      <xdr:rowOff>24675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611</xdr:row>
      <xdr:rowOff>66675</xdr:rowOff>
    </xdr:from>
    <xdr:to>
      <xdr:col>1</xdr:col>
      <xdr:colOff>481875</xdr:colOff>
      <xdr:row>615</xdr:row>
      <xdr:rowOff>24675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658</xdr:row>
      <xdr:rowOff>66675</xdr:rowOff>
    </xdr:from>
    <xdr:to>
      <xdr:col>1</xdr:col>
      <xdr:colOff>481875</xdr:colOff>
      <xdr:row>662</xdr:row>
      <xdr:rowOff>24675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705</xdr:row>
      <xdr:rowOff>66675</xdr:rowOff>
    </xdr:from>
    <xdr:to>
      <xdr:col>1</xdr:col>
      <xdr:colOff>481875</xdr:colOff>
      <xdr:row>709</xdr:row>
      <xdr:rowOff>24675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752</xdr:row>
      <xdr:rowOff>66675</xdr:rowOff>
    </xdr:from>
    <xdr:to>
      <xdr:col>1</xdr:col>
      <xdr:colOff>481875</xdr:colOff>
      <xdr:row>756</xdr:row>
      <xdr:rowOff>24675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799</xdr:row>
      <xdr:rowOff>66675</xdr:rowOff>
    </xdr:from>
    <xdr:to>
      <xdr:col>1</xdr:col>
      <xdr:colOff>481875</xdr:colOff>
      <xdr:row>803</xdr:row>
      <xdr:rowOff>24675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846</xdr:row>
      <xdr:rowOff>66675</xdr:rowOff>
    </xdr:from>
    <xdr:to>
      <xdr:col>1</xdr:col>
      <xdr:colOff>481875</xdr:colOff>
      <xdr:row>850</xdr:row>
      <xdr:rowOff>24675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893</xdr:row>
      <xdr:rowOff>66675</xdr:rowOff>
    </xdr:from>
    <xdr:to>
      <xdr:col>1</xdr:col>
      <xdr:colOff>481875</xdr:colOff>
      <xdr:row>897</xdr:row>
      <xdr:rowOff>24675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940</xdr:row>
      <xdr:rowOff>66675</xdr:rowOff>
    </xdr:from>
    <xdr:to>
      <xdr:col>1</xdr:col>
      <xdr:colOff>481875</xdr:colOff>
      <xdr:row>944</xdr:row>
      <xdr:rowOff>24675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987</xdr:row>
      <xdr:rowOff>66675</xdr:rowOff>
    </xdr:from>
    <xdr:to>
      <xdr:col>1</xdr:col>
      <xdr:colOff>481875</xdr:colOff>
      <xdr:row>991</xdr:row>
      <xdr:rowOff>24675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1034</xdr:row>
      <xdr:rowOff>66675</xdr:rowOff>
    </xdr:from>
    <xdr:to>
      <xdr:col>1</xdr:col>
      <xdr:colOff>481875</xdr:colOff>
      <xdr:row>1038</xdr:row>
      <xdr:rowOff>24675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1081</xdr:row>
      <xdr:rowOff>66675</xdr:rowOff>
    </xdr:from>
    <xdr:to>
      <xdr:col>1</xdr:col>
      <xdr:colOff>481875</xdr:colOff>
      <xdr:row>1085</xdr:row>
      <xdr:rowOff>24675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1128</xdr:row>
      <xdr:rowOff>66675</xdr:rowOff>
    </xdr:from>
    <xdr:to>
      <xdr:col>1</xdr:col>
      <xdr:colOff>481875</xdr:colOff>
      <xdr:row>1132</xdr:row>
      <xdr:rowOff>24675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1175</xdr:row>
      <xdr:rowOff>66675</xdr:rowOff>
    </xdr:from>
    <xdr:to>
      <xdr:col>1</xdr:col>
      <xdr:colOff>481875</xdr:colOff>
      <xdr:row>1179</xdr:row>
      <xdr:rowOff>24675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1222</xdr:row>
      <xdr:rowOff>66675</xdr:rowOff>
    </xdr:from>
    <xdr:to>
      <xdr:col>1</xdr:col>
      <xdr:colOff>481875</xdr:colOff>
      <xdr:row>1226</xdr:row>
      <xdr:rowOff>24675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1269</xdr:row>
      <xdr:rowOff>66675</xdr:rowOff>
    </xdr:from>
    <xdr:to>
      <xdr:col>1</xdr:col>
      <xdr:colOff>481875</xdr:colOff>
      <xdr:row>1273</xdr:row>
      <xdr:rowOff>24675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1316</xdr:row>
      <xdr:rowOff>66675</xdr:rowOff>
    </xdr:from>
    <xdr:to>
      <xdr:col>1</xdr:col>
      <xdr:colOff>481875</xdr:colOff>
      <xdr:row>1320</xdr:row>
      <xdr:rowOff>24675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1363</xdr:row>
      <xdr:rowOff>66675</xdr:rowOff>
    </xdr:from>
    <xdr:to>
      <xdr:col>1</xdr:col>
      <xdr:colOff>481875</xdr:colOff>
      <xdr:row>1367</xdr:row>
      <xdr:rowOff>24675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view="pageBreakPreview" zoomScale="75" zoomScaleNormal="75" zoomScaleSheetLayoutView="75" workbookViewId="0">
      <selection activeCell="A3" sqref="A3:F3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75" t="s">
        <v>16</v>
      </c>
      <c r="B1" s="76"/>
      <c r="C1" s="77"/>
      <c r="D1" s="69" t="s">
        <v>123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1"/>
      <c r="AJ1" s="75" t="s">
        <v>21</v>
      </c>
      <c r="AK1" s="76"/>
      <c r="AL1" s="76"/>
      <c r="AM1" s="76"/>
      <c r="AN1" s="77"/>
      <c r="AO1" s="69" t="s">
        <v>92</v>
      </c>
      <c r="AP1" s="70"/>
      <c r="AQ1" s="70"/>
      <c r="AR1" s="70"/>
      <c r="AS1" s="70"/>
      <c r="AT1" s="70"/>
      <c r="AU1" s="71"/>
      <c r="AV1" s="75" t="s">
        <v>22</v>
      </c>
      <c r="AW1" s="76"/>
      <c r="AX1" s="77"/>
      <c r="AY1" s="69">
        <v>2020</v>
      </c>
      <c r="AZ1" s="70"/>
      <c r="BA1" s="70"/>
      <c r="BB1" s="70"/>
      <c r="BC1" s="71"/>
      <c r="BD1" s="39" t="s">
        <v>87</v>
      </c>
      <c r="BJ1" t="str">
        <f>CONCATENATE("ÍNDICE DE APROVEITAMENTO DO 1º BIMESTRE DO ",AP1," DE ",AZ1)</f>
        <v xml:space="preserve">ÍNDICE DE APROVEITAMENTO DO 1º BIMESTRE DO  DE </v>
      </c>
      <c r="BL1" s="13"/>
      <c r="BQ1" t="str">
        <f>CONCATENATE("ÍNDICE DE APROVEITAMENTO DO RESULTADO FINAL DO ",AO1," DE ",AY1)</f>
        <v>ÍNDICE DE APROVEITAMENTO DO RESULTADO FINAL DO 2º ANO C DE 2020</v>
      </c>
    </row>
    <row r="2" spans="1:69" ht="31.5" customHeight="1" thickBot="1" x14ac:dyDescent="0.3">
      <c r="A2" s="75" t="s">
        <v>20</v>
      </c>
      <c r="B2" s="76"/>
      <c r="C2" s="76"/>
      <c r="D2" s="76"/>
      <c r="E2" s="76"/>
      <c r="F2" s="35"/>
      <c r="G2" s="75" t="s">
        <v>75</v>
      </c>
      <c r="H2" s="76"/>
      <c r="I2" s="76"/>
      <c r="J2" s="76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5"/>
      <c r="AB2" s="86" t="s">
        <v>83</v>
      </c>
      <c r="AC2" s="87"/>
      <c r="AD2" s="87"/>
      <c r="AE2" s="87"/>
      <c r="AF2" s="87"/>
      <c r="AG2" s="87"/>
      <c r="AH2" s="87"/>
      <c r="AI2" s="87"/>
      <c r="AJ2" s="87"/>
      <c r="AK2" s="88"/>
      <c r="AL2" s="86" t="s">
        <v>77</v>
      </c>
      <c r="AM2" s="87"/>
      <c r="AN2" s="165"/>
      <c r="AO2" s="166" t="s">
        <v>78</v>
      </c>
      <c r="AP2" s="167"/>
      <c r="AQ2" s="65"/>
      <c r="AR2" s="65"/>
      <c r="AS2" s="65"/>
      <c r="AT2" s="65"/>
      <c r="AU2" s="65"/>
      <c r="AV2" s="166" t="s">
        <v>9</v>
      </c>
      <c r="AW2" s="76"/>
      <c r="AX2" s="76"/>
      <c r="AY2" s="76"/>
      <c r="AZ2" s="76"/>
      <c r="BA2" s="77"/>
      <c r="BB2" s="159" t="s">
        <v>88</v>
      </c>
      <c r="BC2" s="160"/>
      <c r="BD2" s="72" t="s">
        <v>82</v>
      </c>
      <c r="BL2" s="13"/>
    </row>
    <row r="3" spans="1:69" ht="15" customHeight="1" thickBot="1" x14ac:dyDescent="0.3">
      <c r="A3" s="69" t="s">
        <v>124</v>
      </c>
      <c r="B3" s="70"/>
      <c r="C3" s="70"/>
      <c r="D3" s="70"/>
      <c r="E3" s="70"/>
      <c r="F3" s="71"/>
      <c r="G3" s="75" t="s">
        <v>22</v>
      </c>
      <c r="H3" s="76"/>
      <c r="I3" s="77"/>
      <c r="J3" s="106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20"/>
      <c r="AB3" s="108"/>
      <c r="AC3" s="78"/>
      <c r="AD3" s="78"/>
      <c r="AE3" s="78"/>
      <c r="AF3" s="78"/>
      <c r="AG3" s="81"/>
      <c r="AH3" s="78"/>
      <c r="AI3" s="78"/>
      <c r="AJ3" s="78"/>
      <c r="AK3" s="92"/>
      <c r="AL3" s="95" t="s">
        <v>79</v>
      </c>
      <c r="AM3" s="89" t="s">
        <v>80</v>
      </c>
      <c r="AN3" s="89" t="s">
        <v>81</v>
      </c>
      <c r="AO3" s="89" t="s">
        <v>85</v>
      </c>
      <c r="AP3" s="89" t="s">
        <v>73</v>
      </c>
      <c r="AQ3" s="89"/>
      <c r="AR3" s="89"/>
      <c r="AS3" s="89"/>
      <c r="AT3" s="89"/>
      <c r="AU3" s="89"/>
      <c r="AV3" s="89" t="s">
        <v>10</v>
      </c>
      <c r="AW3" s="89"/>
      <c r="AX3" s="134" t="s">
        <v>13</v>
      </c>
      <c r="AY3" s="134"/>
      <c r="AZ3" s="134"/>
      <c r="BA3" s="135"/>
      <c r="BB3" s="161"/>
      <c r="BC3" s="162"/>
      <c r="BD3" s="73"/>
      <c r="BJ3" s="12">
        <f ca="1">TODAY()</f>
        <v>44029</v>
      </c>
      <c r="BL3" s="13"/>
    </row>
    <row r="4" spans="1:69" s="1" customFormat="1" ht="16.5" customHeight="1" thickBot="1" x14ac:dyDescent="0.3">
      <c r="A4" s="98" t="s">
        <v>0</v>
      </c>
      <c r="B4" s="101" t="s">
        <v>1</v>
      </c>
      <c r="C4" s="153" t="s">
        <v>76</v>
      </c>
      <c r="D4" s="104" t="s">
        <v>17</v>
      </c>
      <c r="E4" s="111" t="s">
        <v>84</v>
      </c>
      <c r="F4" s="47"/>
      <c r="G4" s="150" t="s">
        <v>34</v>
      </c>
      <c r="H4" s="151"/>
      <c r="I4" s="152"/>
      <c r="J4" s="106"/>
      <c r="K4" s="107"/>
      <c r="L4" s="106"/>
      <c r="M4" s="107"/>
      <c r="N4" s="106"/>
      <c r="O4" s="107"/>
      <c r="P4" s="106"/>
      <c r="Q4" s="107"/>
      <c r="R4" s="106"/>
      <c r="S4" s="107"/>
      <c r="T4" s="106"/>
      <c r="U4" s="107"/>
      <c r="V4" s="106"/>
      <c r="W4" s="107"/>
      <c r="X4" s="106"/>
      <c r="Y4" s="107"/>
      <c r="Z4" s="106"/>
      <c r="AA4" s="107"/>
      <c r="AB4" s="109"/>
      <c r="AC4" s="79"/>
      <c r="AD4" s="79"/>
      <c r="AE4" s="79"/>
      <c r="AF4" s="79"/>
      <c r="AG4" s="82"/>
      <c r="AH4" s="79"/>
      <c r="AI4" s="79"/>
      <c r="AJ4" s="79"/>
      <c r="AK4" s="93"/>
      <c r="AL4" s="96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136"/>
      <c r="AY4" s="136"/>
      <c r="AZ4" s="136"/>
      <c r="BA4" s="137"/>
      <c r="BB4" s="161"/>
      <c r="BC4" s="162"/>
      <c r="BD4" s="73"/>
      <c r="BL4" s="14"/>
    </row>
    <row r="5" spans="1:69" ht="12" customHeight="1" x14ac:dyDescent="0.25">
      <c r="A5" s="99"/>
      <c r="B5" s="102"/>
      <c r="C5" s="154"/>
      <c r="D5" s="105"/>
      <c r="E5" s="113"/>
      <c r="F5" s="60"/>
      <c r="G5" s="125" t="s">
        <v>39</v>
      </c>
      <c r="H5" s="126"/>
      <c r="I5" s="127"/>
      <c r="J5" s="125" t="s">
        <v>2</v>
      </c>
      <c r="K5" s="112"/>
      <c r="L5" s="111" t="s">
        <v>3</v>
      </c>
      <c r="M5" s="112"/>
      <c r="N5" s="111" t="s">
        <v>4</v>
      </c>
      <c r="O5" s="112"/>
      <c r="P5" s="111" t="s">
        <v>5</v>
      </c>
      <c r="Q5" s="112"/>
      <c r="R5" s="111" t="s">
        <v>6</v>
      </c>
      <c r="S5" s="112"/>
      <c r="T5" s="111" t="s">
        <v>8</v>
      </c>
      <c r="U5" s="112"/>
      <c r="V5" s="111" t="s">
        <v>38</v>
      </c>
      <c r="W5" s="112"/>
      <c r="X5" s="111" t="s">
        <v>7</v>
      </c>
      <c r="Y5" s="112"/>
      <c r="Z5" s="115" t="s">
        <v>90</v>
      </c>
      <c r="AA5" s="116"/>
      <c r="AB5" s="109"/>
      <c r="AC5" s="79"/>
      <c r="AD5" s="79"/>
      <c r="AE5" s="79"/>
      <c r="AF5" s="79"/>
      <c r="AG5" s="82"/>
      <c r="AH5" s="79"/>
      <c r="AI5" s="79"/>
      <c r="AJ5" s="79"/>
      <c r="AK5" s="93"/>
      <c r="AL5" s="96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136"/>
      <c r="AY5" s="136"/>
      <c r="AZ5" s="136"/>
      <c r="BA5" s="137"/>
      <c r="BB5" s="161"/>
      <c r="BC5" s="162"/>
      <c r="BD5" s="73"/>
      <c r="BG5">
        <v>1</v>
      </c>
      <c r="BH5" t="s">
        <v>23</v>
      </c>
      <c r="BL5" s="13"/>
    </row>
    <row r="6" spans="1:69" ht="12" customHeight="1" x14ac:dyDescent="0.25">
      <c r="A6" s="99"/>
      <c r="B6" s="102"/>
      <c r="C6" s="154"/>
      <c r="D6" s="105"/>
      <c r="E6" s="113"/>
      <c r="F6" s="60"/>
      <c r="G6" s="128"/>
      <c r="H6" s="129"/>
      <c r="I6" s="130"/>
      <c r="J6" s="128"/>
      <c r="K6" s="114"/>
      <c r="L6" s="113"/>
      <c r="M6" s="114"/>
      <c r="N6" s="113"/>
      <c r="O6" s="114"/>
      <c r="P6" s="113"/>
      <c r="Q6" s="114"/>
      <c r="R6" s="113"/>
      <c r="S6" s="114"/>
      <c r="T6" s="113"/>
      <c r="U6" s="114"/>
      <c r="V6" s="113"/>
      <c r="W6" s="114"/>
      <c r="X6" s="113"/>
      <c r="Y6" s="114"/>
      <c r="Z6" s="117"/>
      <c r="AA6" s="118"/>
      <c r="AB6" s="109"/>
      <c r="AC6" s="79"/>
      <c r="AD6" s="79"/>
      <c r="AE6" s="79"/>
      <c r="AF6" s="79"/>
      <c r="AG6" s="82"/>
      <c r="AH6" s="79"/>
      <c r="AI6" s="79"/>
      <c r="AJ6" s="79"/>
      <c r="AK6" s="93"/>
      <c r="AL6" s="96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136"/>
      <c r="AY6" s="136"/>
      <c r="AZ6" s="136"/>
      <c r="BA6" s="137"/>
      <c r="BB6" s="161"/>
      <c r="BC6" s="162"/>
      <c r="BD6" s="73"/>
      <c r="BG6">
        <v>2</v>
      </c>
      <c r="BH6" t="s">
        <v>24</v>
      </c>
    </row>
    <row r="7" spans="1:69" ht="12" customHeight="1" x14ac:dyDescent="0.25">
      <c r="A7" s="99"/>
      <c r="B7" s="102"/>
      <c r="C7" s="154"/>
      <c r="D7" s="105"/>
      <c r="E7" s="113"/>
      <c r="F7" s="60"/>
      <c r="G7" s="128"/>
      <c r="H7" s="129"/>
      <c r="I7" s="130"/>
      <c r="J7" s="128"/>
      <c r="K7" s="114"/>
      <c r="L7" s="113"/>
      <c r="M7" s="114"/>
      <c r="N7" s="113"/>
      <c r="O7" s="114"/>
      <c r="P7" s="113"/>
      <c r="Q7" s="114"/>
      <c r="R7" s="113"/>
      <c r="S7" s="114"/>
      <c r="T7" s="113"/>
      <c r="U7" s="114"/>
      <c r="V7" s="113"/>
      <c r="W7" s="114"/>
      <c r="X7" s="113"/>
      <c r="Y7" s="114"/>
      <c r="Z7" s="117"/>
      <c r="AA7" s="118"/>
      <c r="AB7" s="109"/>
      <c r="AC7" s="79"/>
      <c r="AD7" s="79"/>
      <c r="AE7" s="79"/>
      <c r="AF7" s="79"/>
      <c r="AG7" s="82"/>
      <c r="AH7" s="79"/>
      <c r="AI7" s="79"/>
      <c r="AJ7" s="79"/>
      <c r="AK7" s="93"/>
      <c r="AL7" s="96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136"/>
      <c r="AY7" s="136"/>
      <c r="AZ7" s="136"/>
      <c r="BA7" s="137"/>
      <c r="BB7" s="161"/>
      <c r="BC7" s="162"/>
      <c r="BD7" s="73"/>
      <c r="BG7">
        <v>3</v>
      </c>
      <c r="BH7" t="s">
        <v>25</v>
      </c>
    </row>
    <row r="8" spans="1:69" ht="12" customHeight="1" x14ac:dyDescent="0.25">
      <c r="A8" s="99"/>
      <c r="B8" s="102"/>
      <c r="C8" s="154"/>
      <c r="D8" s="105"/>
      <c r="E8" s="113"/>
      <c r="F8" s="60"/>
      <c r="G8" s="128"/>
      <c r="H8" s="129"/>
      <c r="I8" s="130"/>
      <c r="J8" s="128"/>
      <c r="K8" s="114"/>
      <c r="L8" s="113"/>
      <c r="M8" s="114"/>
      <c r="N8" s="113"/>
      <c r="O8" s="114"/>
      <c r="P8" s="113"/>
      <c r="Q8" s="114"/>
      <c r="R8" s="113"/>
      <c r="S8" s="114"/>
      <c r="T8" s="113"/>
      <c r="U8" s="114"/>
      <c r="V8" s="113"/>
      <c r="W8" s="114"/>
      <c r="X8" s="113"/>
      <c r="Y8" s="114"/>
      <c r="Z8" s="117"/>
      <c r="AA8" s="118"/>
      <c r="AB8" s="109"/>
      <c r="AC8" s="79"/>
      <c r="AD8" s="79"/>
      <c r="AE8" s="79"/>
      <c r="AF8" s="79"/>
      <c r="AG8" s="82"/>
      <c r="AH8" s="79"/>
      <c r="AI8" s="79"/>
      <c r="AJ8" s="79"/>
      <c r="AK8" s="93"/>
      <c r="AL8" s="96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136"/>
      <c r="AY8" s="136"/>
      <c r="AZ8" s="136"/>
      <c r="BA8" s="137"/>
      <c r="BB8" s="161"/>
      <c r="BC8" s="162"/>
      <c r="BD8" s="73"/>
      <c r="BG8">
        <v>4</v>
      </c>
      <c r="BH8" t="s">
        <v>26</v>
      </c>
    </row>
    <row r="9" spans="1:69" ht="12" customHeight="1" x14ac:dyDescent="0.25">
      <c r="A9" s="99"/>
      <c r="B9" s="102"/>
      <c r="C9" s="154"/>
      <c r="D9" s="105"/>
      <c r="E9" s="113"/>
      <c r="F9" s="60"/>
      <c r="G9" s="128"/>
      <c r="H9" s="129"/>
      <c r="I9" s="130"/>
      <c r="J9" s="128"/>
      <c r="K9" s="114"/>
      <c r="L9" s="113"/>
      <c r="M9" s="114"/>
      <c r="N9" s="113"/>
      <c r="O9" s="114"/>
      <c r="P9" s="113"/>
      <c r="Q9" s="114"/>
      <c r="R9" s="113"/>
      <c r="S9" s="114"/>
      <c r="T9" s="113"/>
      <c r="U9" s="114"/>
      <c r="V9" s="113"/>
      <c r="W9" s="114"/>
      <c r="X9" s="113"/>
      <c r="Y9" s="114"/>
      <c r="Z9" s="117"/>
      <c r="AA9" s="118"/>
      <c r="AB9" s="109"/>
      <c r="AC9" s="79"/>
      <c r="AD9" s="79"/>
      <c r="AE9" s="79"/>
      <c r="AF9" s="79"/>
      <c r="AG9" s="82"/>
      <c r="AH9" s="79"/>
      <c r="AI9" s="79"/>
      <c r="AJ9" s="79"/>
      <c r="AK9" s="93"/>
      <c r="AL9" s="96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136"/>
      <c r="AY9" s="136"/>
      <c r="AZ9" s="136"/>
      <c r="BA9" s="137"/>
      <c r="BB9" s="161"/>
      <c r="BC9" s="162"/>
      <c r="BD9" s="73"/>
      <c r="BG9">
        <v>5</v>
      </c>
      <c r="BH9" t="s">
        <v>27</v>
      </c>
    </row>
    <row r="10" spans="1:69" ht="12" customHeight="1" x14ac:dyDescent="0.25">
      <c r="A10" s="99"/>
      <c r="B10" s="102"/>
      <c r="C10" s="154"/>
      <c r="D10" s="105"/>
      <c r="E10" s="113"/>
      <c r="F10" s="60"/>
      <c r="G10" s="128"/>
      <c r="H10" s="129"/>
      <c r="I10" s="130"/>
      <c r="J10" s="128"/>
      <c r="K10" s="114"/>
      <c r="L10" s="113"/>
      <c r="M10" s="114"/>
      <c r="N10" s="113"/>
      <c r="O10" s="114"/>
      <c r="P10" s="113"/>
      <c r="Q10" s="114"/>
      <c r="R10" s="113"/>
      <c r="S10" s="114"/>
      <c r="T10" s="113"/>
      <c r="U10" s="114"/>
      <c r="V10" s="113"/>
      <c r="W10" s="114"/>
      <c r="X10" s="113"/>
      <c r="Y10" s="114"/>
      <c r="Z10" s="117"/>
      <c r="AA10" s="118"/>
      <c r="AB10" s="109"/>
      <c r="AC10" s="79"/>
      <c r="AD10" s="79"/>
      <c r="AE10" s="79"/>
      <c r="AF10" s="79"/>
      <c r="AG10" s="82"/>
      <c r="AH10" s="79"/>
      <c r="AI10" s="79"/>
      <c r="AJ10" s="79"/>
      <c r="AK10" s="93"/>
      <c r="AL10" s="96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136"/>
      <c r="AY10" s="136"/>
      <c r="AZ10" s="136"/>
      <c r="BA10" s="137"/>
      <c r="BB10" s="161"/>
      <c r="BC10" s="162"/>
      <c r="BD10" s="73"/>
      <c r="BG10">
        <v>6</v>
      </c>
      <c r="BH10" t="s">
        <v>28</v>
      </c>
    </row>
    <row r="11" spans="1:69" ht="12" customHeight="1" x14ac:dyDescent="0.25">
      <c r="A11" s="99"/>
      <c r="B11" s="102"/>
      <c r="C11" s="154"/>
      <c r="D11" s="105"/>
      <c r="E11" s="113"/>
      <c r="F11" s="60"/>
      <c r="G11" s="128"/>
      <c r="H11" s="129"/>
      <c r="I11" s="130"/>
      <c r="J11" s="128"/>
      <c r="K11" s="114"/>
      <c r="L11" s="113"/>
      <c r="M11" s="114"/>
      <c r="N11" s="113"/>
      <c r="O11" s="114"/>
      <c r="P11" s="113"/>
      <c r="Q11" s="114"/>
      <c r="R11" s="113"/>
      <c r="S11" s="114"/>
      <c r="T11" s="113"/>
      <c r="U11" s="114"/>
      <c r="V11" s="113"/>
      <c r="W11" s="114"/>
      <c r="X11" s="113"/>
      <c r="Y11" s="114"/>
      <c r="Z11" s="117"/>
      <c r="AA11" s="118"/>
      <c r="AB11" s="109"/>
      <c r="AC11" s="79"/>
      <c r="AD11" s="79"/>
      <c r="AE11" s="79"/>
      <c r="AF11" s="79"/>
      <c r="AG11" s="82"/>
      <c r="AH11" s="79"/>
      <c r="AI11" s="79"/>
      <c r="AJ11" s="79"/>
      <c r="AK11" s="93"/>
      <c r="AL11" s="96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136"/>
      <c r="AY11" s="136"/>
      <c r="AZ11" s="136"/>
      <c r="BA11" s="137"/>
      <c r="BB11" s="161"/>
      <c r="BC11" s="162"/>
      <c r="BD11" s="73"/>
      <c r="BG11">
        <v>7</v>
      </c>
      <c r="BH11" t="s">
        <v>29</v>
      </c>
    </row>
    <row r="12" spans="1:69" ht="41.25" customHeight="1" x14ac:dyDescent="0.25">
      <c r="A12" s="99"/>
      <c r="B12" s="102"/>
      <c r="C12" s="154"/>
      <c r="D12" s="105"/>
      <c r="E12" s="113"/>
      <c r="F12" s="60"/>
      <c r="G12" s="128"/>
      <c r="H12" s="129"/>
      <c r="I12" s="130"/>
      <c r="J12" s="128"/>
      <c r="K12" s="114"/>
      <c r="L12" s="113"/>
      <c r="M12" s="114"/>
      <c r="N12" s="113"/>
      <c r="O12" s="114"/>
      <c r="P12" s="113"/>
      <c r="Q12" s="114"/>
      <c r="R12" s="113"/>
      <c r="S12" s="114"/>
      <c r="T12" s="113"/>
      <c r="U12" s="114"/>
      <c r="V12" s="113"/>
      <c r="W12" s="114"/>
      <c r="X12" s="113"/>
      <c r="Y12" s="114"/>
      <c r="Z12" s="117"/>
      <c r="AA12" s="118"/>
      <c r="AB12" s="109"/>
      <c r="AC12" s="79"/>
      <c r="AD12" s="79"/>
      <c r="AE12" s="79"/>
      <c r="AF12" s="79"/>
      <c r="AG12" s="82"/>
      <c r="AH12" s="79"/>
      <c r="AI12" s="79"/>
      <c r="AJ12" s="79"/>
      <c r="AK12" s="93"/>
      <c r="AL12" s="96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136"/>
      <c r="AY12" s="136"/>
      <c r="AZ12" s="136"/>
      <c r="BA12" s="137"/>
      <c r="BB12" s="161"/>
      <c r="BC12" s="162"/>
      <c r="BD12" s="73"/>
      <c r="BG12">
        <v>8</v>
      </c>
      <c r="BH12" t="s">
        <v>30</v>
      </c>
    </row>
    <row r="13" spans="1:69" ht="12" customHeight="1" x14ac:dyDescent="0.25">
      <c r="A13" s="99"/>
      <c r="B13" s="102"/>
      <c r="C13" s="154"/>
      <c r="D13" s="105"/>
      <c r="E13" s="113"/>
      <c r="F13" s="60"/>
      <c r="G13" s="128"/>
      <c r="H13" s="129"/>
      <c r="I13" s="130"/>
      <c r="J13" s="128"/>
      <c r="K13" s="114"/>
      <c r="L13" s="113"/>
      <c r="M13" s="114"/>
      <c r="N13" s="113"/>
      <c r="O13" s="114"/>
      <c r="P13" s="113"/>
      <c r="Q13" s="114"/>
      <c r="R13" s="113"/>
      <c r="S13" s="114"/>
      <c r="T13" s="113"/>
      <c r="U13" s="114"/>
      <c r="V13" s="113"/>
      <c r="W13" s="114"/>
      <c r="X13" s="113"/>
      <c r="Y13" s="114"/>
      <c r="Z13" s="117"/>
      <c r="AA13" s="118"/>
      <c r="AB13" s="109"/>
      <c r="AC13" s="79"/>
      <c r="AD13" s="79"/>
      <c r="AE13" s="79"/>
      <c r="AF13" s="79"/>
      <c r="AG13" s="82"/>
      <c r="AH13" s="79"/>
      <c r="AI13" s="79"/>
      <c r="AJ13" s="79"/>
      <c r="AK13" s="93"/>
      <c r="AL13" s="96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136"/>
      <c r="AY13" s="136"/>
      <c r="AZ13" s="136"/>
      <c r="BA13" s="137"/>
      <c r="BB13" s="161"/>
      <c r="BC13" s="162"/>
      <c r="BD13" s="73"/>
      <c r="BG13">
        <v>9</v>
      </c>
      <c r="BH13" t="s">
        <v>31</v>
      </c>
    </row>
    <row r="14" spans="1:69" ht="15.75" thickBot="1" x14ac:dyDescent="0.3">
      <c r="A14" s="99"/>
      <c r="B14" s="102"/>
      <c r="C14" s="154"/>
      <c r="D14" s="105"/>
      <c r="E14" s="113"/>
      <c r="F14" s="60"/>
      <c r="G14" s="128"/>
      <c r="H14" s="129"/>
      <c r="I14" s="130"/>
      <c r="J14" s="128"/>
      <c r="K14" s="114"/>
      <c r="L14" s="113"/>
      <c r="M14" s="114"/>
      <c r="N14" s="113"/>
      <c r="O14" s="114"/>
      <c r="P14" s="113"/>
      <c r="Q14" s="114"/>
      <c r="R14" s="113"/>
      <c r="S14" s="114"/>
      <c r="T14" s="113"/>
      <c r="U14" s="114"/>
      <c r="V14" s="113"/>
      <c r="W14" s="114"/>
      <c r="X14" s="113"/>
      <c r="Y14" s="114"/>
      <c r="Z14" s="117"/>
      <c r="AA14" s="118"/>
      <c r="AB14" s="109"/>
      <c r="AC14" s="79"/>
      <c r="AD14" s="79"/>
      <c r="AE14" s="79"/>
      <c r="AF14" s="79"/>
      <c r="AG14" s="82"/>
      <c r="AH14" s="79"/>
      <c r="AI14" s="79"/>
      <c r="AJ14" s="79"/>
      <c r="AK14" s="93"/>
      <c r="AL14" s="96"/>
      <c r="AM14" s="90"/>
      <c r="AN14" s="90"/>
      <c r="AO14" s="90"/>
      <c r="AP14" s="90"/>
      <c r="AQ14" s="90"/>
      <c r="AR14" s="90"/>
      <c r="AS14" s="90"/>
      <c r="AT14" s="90"/>
      <c r="AU14" s="90"/>
      <c r="AV14" s="121" t="s">
        <v>11</v>
      </c>
      <c r="AW14" s="121" t="s">
        <v>12</v>
      </c>
      <c r="AX14" s="123" t="s">
        <v>11</v>
      </c>
      <c r="AY14" s="123"/>
      <c r="AZ14" s="123" t="s">
        <v>12</v>
      </c>
      <c r="BA14" s="124"/>
      <c r="BB14" s="163"/>
      <c r="BC14" s="164"/>
      <c r="BD14" s="73"/>
      <c r="BG14">
        <v>11</v>
      </c>
      <c r="BH14" t="s">
        <v>32</v>
      </c>
    </row>
    <row r="15" spans="1:69" ht="15" customHeight="1" thickBot="1" x14ac:dyDescent="0.3">
      <c r="A15" s="100"/>
      <c r="B15" s="103"/>
      <c r="C15" s="154"/>
      <c r="D15" s="105"/>
      <c r="E15" s="113"/>
      <c r="F15" s="60"/>
      <c r="G15" s="131"/>
      <c r="H15" s="132"/>
      <c r="I15" s="133"/>
      <c r="J15" s="128"/>
      <c r="K15" s="114"/>
      <c r="L15" s="113"/>
      <c r="M15" s="114"/>
      <c r="N15" s="113"/>
      <c r="O15" s="114"/>
      <c r="P15" s="113"/>
      <c r="Q15" s="114"/>
      <c r="R15" s="113"/>
      <c r="S15" s="114"/>
      <c r="T15" s="113"/>
      <c r="U15" s="114"/>
      <c r="V15" s="113"/>
      <c r="W15" s="114"/>
      <c r="X15" s="113"/>
      <c r="Y15" s="114"/>
      <c r="Z15" s="117"/>
      <c r="AA15" s="118"/>
      <c r="AB15" s="110"/>
      <c r="AC15" s="80"/>
      <c r="AD15" s="80"/>
      <c r="AE15" s="80"/>
      <c r="AF15" s="80"/>
      <c r="AG15" s="83"/>
      <c r="AH15" s="80"/>
      <c r="AI15" s="80"/>
      <c r="AJ15" s="80"/>
      <c r="AK15" s="94"/>
      <c r="AL15" s="97"/>
      <c r="AM15" s="91"/>
      <c r="AN15" s="91"/>
      <c r="AO15" s="91"/>
      <c r="AP15" s="91"/>
      <c r="AQ15" s="91"/>
      <c r="AR15" s="91"/>
      <c r="AS15" s="91"/>
      <c r="AT15" s="91"/>
      <c r="AU15" s="91"/>
      <c r="AV15" s="122"/>
      <c r="AW15" s="122"/>
      <c r="AX15" s="40" t="s">
        <v>14</v>
      </c>
      <c r="AY15" s="40" t="s">
        <v>15</v>
      </c>
      <c r="AZ15" s="40" t="s">
        <v>14</v>
      </c>
      <c r="BA15" s="41" t="s">
        <v>15</v>
      </c>
      <c r="BB15" s="66" t="s">
        <v>14</v>
      </c>
      <c r="BC15" s="66" t="s">
        <v>15</v>
      </c>
      <c r="BD15" s="74"/>
      <c r="BG15">
        <v>21</v>
      </c>
      <c r="BH15" t="s">
        <v>33</v>
      </c>
      <c r="BK15" t="s">
        <v>25</v>
      </c>
    </row>
    <row r="16" spans="1:69" ht="14.1" customHeight="1" x14ac:dyDescent="0.25">
      <c r="A16" s="42">
        <v>1</v>
      </c>
      <c r="B16" s="61" t="s">
        <v>93</v>
      </c>
      <c r="C16" s="62">
        <v>14259.79928408609</v>
      </c>
      <c r="D16" s="44"/>
      <c r="E16" s="48"/>
      <c r="F16" s="57"/>
      <c r="G16" s="145"/>
      <c r="H16" s="146"/>
      <c r="I16" s="147"/>
      <c r="J16" s="14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9"/>
      <c r="AB16" s="16"/>
      <c r="AC16" s="17"/>
      <c r="AD16" s="17"/>
      <c r="AE16" s="17"/>
      <c r="AF16" s="17"/>
      <c r="AG16" s="17"/>
      <c r="AH16" s="17"/>
      <c r="AI16" s="17"/>
      <c r="AJ16" s="17"/>
      <c r="AK16" s="18"/>
      <c r="AL16" s="19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37">
        <v>0</v>
      </c>
      <c r="AY16" s="37">
        <v>0</v>
      </c>
      <c r="AZ16" s="37">
        <v>0</v>
      </c>
      <c r="BA16" s="20">
        <v>0</v>
      </c>
      <c r="BB16" s="51"/>
      <c r="BC16" s="52"/>
      <c r="BD16" s="21"/>
      <c r="BF16" s="2">
        <v>0</v>
      </c>
      <c r="BI16" t="s">
        <v>35</v>
      </c>
      <c r="BK16" t="s">
        <v>40</v>
      </c>
    </row>
    <row r="17" spans="1:63" ht="14.1" customHeight="1" x14ac:dyDescent="0.25">
      <c r="A17" s="43">
        <v>2</v>
      </c>
      <c r="B17" s="61" t="s">
        <v>94</v>
      </c>
      <c r="C17" s="63">
        <v>39756.703310018871</v>
      </c>
      <c r="D17" s="45"/>
      <c r="E17" s="49"/>
      <c r="F17" s="58"/>
      <c r="G17" s="140"/>
      <c r="H17" s="141"/>
      <c r="I17" s="142"/>
      <c r="J17" s="143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9"/>
      <c r="AB17" s="22"/>
      <c r="AC17" s="23"/>
      <c r="AD17" s="23"/>
      <c r="AE17" s="23"/>
      <c r="AF17" s="23"/>
      <c r="AG17" s="23"/>
      <c r="AH17" s="23"/>
      <c r="AI17" s="23"/>
      <c r="AJ17" s="23"/>
      <c r="AK17" s="24"/>
      <c r="AL17" s="25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36">
        <v>0</v>
      </c>
      <c r="AY17" s="36">
        <v>0</v>
      </c>
      <c r="AZ17" s="36">
        <v>0</v>
      </c>
      <c r="BA17" s="26">
        <v>0</v>
      </c>
      <c r="BB17" s="53"/>
      <c r="BC17" s="54"/>
      <c r="BD17" s="27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3">
        <v>3</v>
      </c>
      <c r="B18" s="61" t="s">
        <v>95</v>
      </c>
      <c r="C18" s="63">
        <v>3620.5444668840551</v>
      </c>
      <c r="D18" s="45"/>
      <c r="E18" s="49"/>
      <c r="F18" s="58"/>
      <c r="G18" s="140"/>
      <c r="H18" s="141"/>
      <c r="I18" s="142"/>
      <c r="J18" s="143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9"/>
      <c r="AB18" s="22"/>
      <c r="AC18" s="23"/>
      <c r="AD18" s="23"/>
      <c r="AE18" s="23"/>
      <c r="AF18" s="23"/>
      <c r="AG18" s="23"/>
      <c r="AH18" s="23"/>
      <c r="AI18" s="23"/>
      <c r="AJ18" s="23"/>
      <c r="AK18" s="24"/>
      <c r="AL18" s="25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36">
        <v>0</v>
      </c>
      <c r="AY18" s="36">
        <v>0</v>
      </c>
      <c r="AZ18" s="36">
        <v>0</v>
      </c>
      <c r="BA18" s="26">
        <v>0</v>
      </c>
      <c r="BB18" s="53"/>
      <c r="BC18" s="54"/>
      <c r="BD18" s="27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3">
        <v>4</v>
      </c>
      <c r="B19" s="61" t="s">
        <v>96</v>
      </c>
      <c r="C19" s="63">
        <v>404.88884412420265</v>
      </c>
      <c r="D19" s="45"/>
      <c r="E19" s="49"/>
      <c r="F19" s="58"/>
      <c r="G19" s="140"/>
      <c r="H19" s="141"/>
      <c r="I19" s="142"/>
      <c r="J19" s="143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9"/>
      <c r="AB19" s="22"/>
      <c r="AC19" s="23"/>
      <c r="AD19" s="23"/>
      <c r="AE19" s="23"/>
      <c r="AF19" s="23"/>
      <c r="AG19" s="23"/>
      <c r="AH19" s="23"/>
      <c r="AI19" s="23"/>
      <c r="AJ19" s="23"/>
      <c r="AK19" s="24"/>
      <c r="AL19" s="25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36">
        <v>0</v>
      </c>
      <c r="AY19" s="36">
        <v>0</v>
      </c>
      <c r="AZ19" s="36">
        <v>0</v>
      </c>
      <c r="BA19" s="26">
        <v>0</v>
      </c>
      <c r="BB19" s="53"/>
      <c r="BC19" s="54"/>
      <c r="BD19" s="27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3">
        <v>5</v>
      </c>
      <c r="B20" s="61" t="s">
        <v>97</v>
      </c>
      <c r="C20" s="63">
        <v>16419.386040679557</v>
      </c>
      <c r="D20" s="45"/>
      <c r="E20" s="49"/>
      <c r="F20" s="58"/>
      <c r="G20" s="140"/>
      <c r="H20" s="141"/>
      <c r="I20" s="142"/>
      <c r="J20" s="143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9"/>
      <c r="AB20" s="22"/>
      <c r="AC20" s="23"/>
      <c r="AD20" s="23"/>
      <c r="AE20" s="23"/>
      <c r="AF20" s="23"/>
      <c r="AG20" s="23"/>
      <c r="AH20" s="23"/>
      <c r="AI20" s="23"/>
      <c r="AJ20" s="23"/>
      <c r="AK20" s="24"/>
      <c r="AL20" s="25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36">
        <v>0</v>
      </c>
      <c r="AY20" s="36">
        <v>0</v>
      </c>
      <c r="AZ20" s="36">
        <v>0</v>
      </c>
      <c r="BA20" s="26">
        <v>0</v>
      </c>
      <c r="BB20" s="53"/>
      <c r="BC20" s="54"/>
      <c r="BD20" s="27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3">
        <v>6</v>
      </c>
      <c r="B21" s="61" t="s">
        <v>98</v>
      </c>
      <c r="C21" s="63">
        <v>3871.0968480731112</v>
      </c>
      <c r="D21" s="45"/>
      <c r="E21" s="49"/>
      <c r="F21" s="58"/>
      <c r="G21" s="140"/>
      <c r="H21" s="141"/>
      <c r="I21" s="142"/>
      <c r="J21" s="143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9"/>
      <c r="AB21" s="22"/>
      <c r="AC21" s="23"/>
      <c r="AD21" s="23"/>
      <c r="AE21" s="23"/>
      <c r="AF21" s="23"/>
      <c r="AG21" s="23"/>
      <c r="AH21" s="23"/>
      <c r="AI21" s="23"/>
      <c r="AJ21" s="23"/>
      <c r="AK21" s="24"/>
      <c r="AL21" s="25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36">
        <v>0</v>
      </c>
      <c r="AY21" s="36">
        <v>0</v>
      </c>
      <c r="AZ21" s="36">
        <v>0</v>
      </c>
      <c r="BA21" s="26">
        <v>0</v>
      </c>
      <c r="BB21" s="53"/>
      <c r="BC21" s="54"/>
      <c r="BD21" s="27"/>
      <c r="BF21" s="2">
        <v>2</v>
      </c>
      <c r="BK21" t="s">
        <v>27</v>
      </c>
    </row>
    <row r="22" spans="1:63" ht="14.1" customHeight="1" x14ac:dyDescent="0.25">
      <c r="A22" s="43">
        <v>7</v>
      </c>
      <c r="B22" s="61" t="s">
        <v>99</v>
      </c>
      <c r="C22" s="63">
        <v>13538.455290123224</v>
      </c>
      <c r="D22" s="45"/>
      <c r="E22" s="49"/>
      <c r="F22" s="58"/>
      <c r="G22" s="140"/>
      <c r="H22" s="141"/>
      <c r="I22" s="142"/>
      <c r="J22" s="143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9"/>
      <c r="AB22" s="22"/>
      <c r="AC22" s="23"/>
      <c r="AD22" s="23"/>
      <c r="AE22" s="23"/>
      <c r="AF22" s="23"/>
      <c r="AG22" s="23"/>
      <c r="AH22" s="23"/>
      <c r="AI22" s="23"/>
      <c r="AJ22" s="23"/>
      <c r="AK22" s="24"/>
      <c r="AL22" s="25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36">
        <v>0</v>
      </c>
      <c r="AY22" s="36">
        <v>0</v>
      </c>
      <c r="AZ22" s="36">
        <v>0</v>
      </c>
      <c r="BA22" s="26">
        <v>0</v>
      </c>
      <c r="BB22" s="53"/>
      <c r="BC22" s="54"/>
      <c r="BD22" s="27"/>
      <c r="BF22" s="2">
        <v>2.5</v>
      </c>
      <c r="BK22" t="s">
        <v>28</v>
      </c>
    </row>
    <row r="23" spans="1:63" ht="14.1" customHeight="1" x14ac:dyDescent="0.25">
      <c r="A23" s="43">
        <v>8</v>
      </c>
      <c r="B23" s="61" t="s">
        <v>100</v>
      </c>
      <c r="C23" s="63">
        <v>3338.6658487339605</v>
      </c>
      <c r="D23" s="45"/>
      <c r="E23" s="49"/>
      <c r="F23" s="58"/>
      <c r="G23" s="140"/>
      <c r="H23" s="141"/>
      <c r="I23" s="142"/>
      <c r="J23" s="143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9"/>
      <c r="AB23" s="22"/>
      <c r="AC23" s="23"/>
      <c r="AD23" s="23"/>
      <c r="AE23" s="23"/>
      <c r="AF23" s="23"/>
      <c r="AG23" s="23"/>
      <c r="AH23" s="23"/>
      <c r="AI23" s="23"/>
      <c r="AJ23" s="23"/>
      <c r="AK23" s="24"/>
      <c r="AL23" s="25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36">
        <v>0</v>
      </c>
      <c r="AY23" s="36">
        <v>0</v>
      </c>
      <c r="AZ23" s="36">
        <v>0</v>
      </c>
      <c r="BA23" s="26">
        <v>0</v>
      </c>
      <c r="BB23" s="53"/>
      <c r="BC23" s="54"/>
      <c r="BD23" s="27"/>
      <c r="BF23" s="2">
        <v>3</v>
      </c>
    </row>
    <row r="24" spans="1:63" ht="14.1" customHeight="1" x14ac:dyDescent="0.25">
      <c r="A24" s="43">
        <v>9</v>
      </c>
      <c r="B24" s="61" t="s">
        <v>101</v>
      </c>
      <c r="C24" s="63">
        <v>16423.023080653868</v>
      </c>
      <c r="D24" s="45"/>
      <c r="E24" s="49"/>
      <c r="F24" s="58"/>
      <c r="G24" s="140"/>
      <c r="H24" s="141"/>
      <c r="I24" s="142"/>
      <c r="J24" s="14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9"/>
      <c r="AB24" s="22"/>
      <c r="AC24" s="23"/>
      <c r="AD24" s="23"/>
      <c r="AE24" s="23"/>
      <c r="AF24" s="23"/>
      <c r="AG24" s="23"/>
      <c r="AH24" s="23"/>
      <c r="AI24" s="23"/>
      <c r="AJ24" s="23"/>
      <c r="AK24" s="24"/>
      <c r="AL24" s="25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36">
        <v>0</v>
      </c>
      <c r="AY24" s="36">
        <v>0</v>
      </c>
      <c r="AZ24" s="36">
        <v>0</v>
      </c>
      <c r="BA24" s="26">
        <v>0</v>
      </c>
      <c r="BB24" s="53"/>
      <c r="BC24" s="54"/>
      <c r="BD24" s="27"/>
      <c r="BF24" s="2">
        <v>3.5</v>
      </c>
    </row>
    <row r="25" spans="1:63" ht="14.1" customHeight="1" x14ac:dyDescent="0.25">
      <c r="A25" s="43">
        <v>10</v>
      </c>
      <c r="B25" s="61" t="s">
        <v>102</v>
      </c>
      <c r="C25" s="63">
        <v>18330.621159425689</v>
      </c>
      <c r="D25" s="45"/>
      <c r="E25" s="49"/>
      <c r="F25" s="58"/>
      <c r="G25" s="140"/>
      <c r="H25" s="141"/>
      <c r="I25" s="142"/>
      <c r="J25" s="143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9"/>
      <c r="AB25" s="22"/>
      <c r="AC25" s="23"/>
      <c r="AD25" s="23"/>
      <c r="AE25" s="23"/>
      <c r="AF25" s="23"/>
      <c r="AG25" s="23"/>
      <c r="AH25" s="23"/>
      <c r="AI25" s="23"/>
      <c r="AJ25" s="23"/>
      <c r="AK25" s="24"/>
      <c r="AL25" s="25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36">
        <v>0</v>
      </c>
      <c r="AY25" s="36">
        <v>0</v>
      </c>
      <c r="AZ25" s="36">
        <v>0</v>
      </c>
      <c r="BA25" s="26">
        <v>0</v>
      </c>
      <c r="BB25" s="53"/>
      <c r="BC25" s="54"/>
      <c r="BD25" s="27"/>
      <c r="BF25" s="2">
        <v>4</v>
      </c>
    </row>
    <row r="26" spans="1:63" ht="14.1" customHeight="1" x14ac:dyDescent="0.25">
      <c r="A26" s="43">
        <v>11</v>
      </c>
      <c r="B26" s="61" t="s">
        <v>103</v>
      </c>
      <c r="C26" s="63">
        <v>1758.582201366464</v>
      </c>
      <c r="D26" s="45"/>
      <c r="E26" s="49"/>
      <c r="F26" s="58"/>
      <c r="G26" s="140"/>
      <c r="H26" s="141"/>
      <c r="I26" s="142"/>
      <c r="J26" s="143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9"/>
      <c r="AB26" s="22"/>
      <c r="AC26" s="23"/>
      <c r="AD26" s="23"/>
      <c r="AE26" s="23"/>
      <c r="AF26" s="23"/>
      <c r="AG26" s="23"/>
      <c r="AH26" s="23"/>
      <c r="AI26" s="23"/>
      <c r="AJ26" s="23"/>
      <c r="AK26" s="24"/>
      <c r="AL26" s="25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36">
        <v>0</v>
      </c>
      <c r="AY26" s="36">
        <v>0</v>
      </c>
      <c r="AZ26" s="36">
        <v>0</v>
      </c>
      <c r="BA26" s="26">
        <v>0</v>
      </c>
      <c r="BB26" s="53"/>
      <c r="BC26" s="54"/>
      <c r="BD26" s="27"/>
      <c r="BF26" s="2">
        <v>4.5</v>
      </c>
    </row>
    <row r="27" spans="1:63" ht="14.1" customHeight="1" x14ac:dyDescent="0.25">
      <c r="A27" s="43">
        <v>12</v>
      </c>
      <c r="B27" s="61" t="s">
        <v>104</v>
      </c>
      <c r="C27" s="63">
        <v>24875.886853187832</v>
      </c>
      <c r="D27" s="45"/>
      <c r="E27" s="49"/>
      <c r="F27" s="58"/>
      <c r="G27" s="140"/>
      <c r="H27" s="141"/>
      <c r="I27" s="142"/>
      <c r="J27" s="143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9"/>
      <c r="AB27" s="22"/>
      <c r="AC27" s="23"/>
      <c r="AD27" s="23"/>
      <c r="AE27" s="23"/>
      <c r="AF27" s="23"/>
      <c r="AG27" s="23"/>
      <c r="AH27" s="23"/>
      <c r="AI27" s="23"/>
      <c r="AJ27" s="23"/>
      <c r="AK27" s="24"/>
      <c r="AL27" s="25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36">
        <v>0</v>
      </c>
      <c r="AY27" s="36">
        <v>0</v>
      </c>
      <c r="AZ27" s="36">
        <v>0</v>
      </c>
      <c r="BA27" s="26">
        <v>0</v>
      </c>
      <c r="BB27" s="53"/>
      <c r="BC27" s="54"/>
      <c r="BD27" s="27"/>
      <c r="BF27" s="2">
        <v>5</v>
      </c>
    </row>
    <row r="28" spans="1:63" ht="14.1" customHeight="1" x14ac:dyDescent="0.25">
      <c r="A28" s="43">
        <v>13</v>
      </c>
      <c r="B28" s="61" t="s">
        <v>105</v>
      </c>
      <c r="C28" s="63">
        <v>15465.147387661505</v>
      </c>
      <c r="D28" s="45"/>
      <c r="E28" s="49"/>
      <c r="F28" s="58"/>
      <c r="G28" s="140"/>
      <c r="H28" s="141"/>
      <c r="I28" s="142"/>
      <c r="J28" s="143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9"/>
      <c r="AB28" s="22"/>
      <c r="AC28" s="23"/>
      <c r="AD28" s="23"/>
      <c r="AE28" s="23"/>
      <c r="AF28" s="23"/>
      <c r="AG28" s="23"/>
      <c r="AH28" s="23"/>
      <c r="AI28" s="23"/>
      <c r="AJ28" s="23"/>
      <c r="AK28" s="24"/>
      <c r="AL28" s="25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36">
        <v>0</v>
      </c>
      <c r="AY28" s="36">
        <v>0</v>
      </c>
      <c r="AZ28" s="36">
        <v>0</v>
      </c>
      <c r="BA28" s="26">
        <v>0</v>
      </c>
      <c r="BB28" s="53"/>
      <c r="BC28" s="54"/>
      <c r="BD28" s="27"/>
      <c r="BF28" s="2">
        <v>5.5</v>
      </c>
    </row>
    <row r="29" spans="1:63" ht="14.1" customHeight="1" x14ac:dyDescent="0.25">
      <c r="A29" s="43">
        <v>14</v>
      </c>
      <c r="B29" s="61" t="s">
        <v>106</v>
      </c>
      <c r="C29" s="63">
        <v>7605.2879661677734</v>
      </c>
      <c r="D29" s="45"/>
      <c r="E29" s="49"/>
      <c r="F29" s="58"/>
      <c r="G29" s="140"/>
      <c r="H29" s="141"/>
      <c r="I29" s="142"/>
      <c r="J29" s="143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9"/>
      <c r="AB29" s="22"/>
      <c r="AC29" s="23"/>
      <c r="AD29" s="23"/>
      <c r="AE29" s="23"/>
      <c r="AF29" s="23"/>
      <c r="AG29" s="23"/>
      <c r="AH29" s="23"/>
      <c r="AI29" s="23"/>
      <c r="AJ29" s="23"/>
      <c r="AK29" s="24"/>
      <c r="AL29" s="25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36">
        <v>0</v>
      </c>
      <c r="AY29" s="36">
        <v>0</v>
      </c>
      <c r="AZ29" s="36">
        <v>0</v>
      </c>
      <c r="BA29" s="26">
        <v>0</v>
      </c>
      <c r="BB29" s="53"/>
      <c r="BC29" s="54"/>
      <c r="BD29" s="27"/>
      <c r="BF29" s="2">
        <v>6</v>
      </c>
    </row>
    <row r="30" spans="1:63" ht="14.1" customHeight="1" x14ac:dyDescent="0.25">
      <c r="A30" s="43">
        <v>15</v>
      </c>
      <c r="B30" s="61" t="s">
        <v>107</v>
      </c>
      <c r="C30" s="63">
        <v>14578.879115085509</v>
      </c>
      <c r="D30" s="45"/>
      <c r="E30" s="49"/>
      <c r="F30" s="58"/>
      <c r="G30" s="140"/>
      <c r="H30" s="141"/>
      <c r="I30" s="142"/>
      <c r="J30" s="143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9"/>
      <c r="AB30" s="22"/>
      <c r="AC30" s="23"/>
      <c r="AD30" s="23"/>
      <c r="AE30" s="23"/>
      <c r="AF30" s="23"/>
      <c r="AG30" s="23"/>
      <c r="AH30" s="23"/>
      <c r="AI30" s="23"/>
      <c r="AJ30" s="23"/>
      <c r="AK30" s="24"/>
      <c r="AL30" s="25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36">
        <v>0</v>
      </c>
      <c r="AY30" s="36">
        <v>0</v>
      </c>
      <c r="AZ30" s="36">
        <v>0</v>
      </c>
      <c r="BA30" s="26">
        <v>0</v>
      </c>
      <c r="BB30" s="53"/>
      <c r="BC30" s="54"/>
      <c r="BD30" s="27"/>
      <c r="BF30" s="2">
        <v>6.5</v>
      </c>
    </row>
    <row r="31" spans="1:63" ht="14.1" customHeight="1" x14ac:dyDescent="0.25">
      <c r="A31" s="43">
        <v>16</v>
      </c>
      <c r="B31" s="61" t="s">
        <v>108</v>
      </c>
      <c r="C31" s="63">
        <v>4818.845803961548</v>
      </c>
      <c r="D31" s="45"/>
      <c r="E31" s="49"/>
      <c r="F31" s="58"/>
      <c r="G31" s="140"/>
      <c r="H31" s="141"/>
      <c r="I31" s="142"/>
      <c r="J31" s="143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9"/>
      <c r="AB31" s="22"/>
      <c r="AC31" s="23"/>
      <c r="AD31" s="23"/>
      <c r="AE31" s="23"/>
      <c r="AF31" s="23"/>
      <c r="AG31" s="23"/>
      <c r="AH31" s="23"/>
      <c r="AI31" s="23"/>
      <c r="AJ31" s="23"/>
      <c r="AK31" s="24"/>
      <c r="AL31" s="25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36">
        <v>0</v>
      </c>
      <c r="AY31" s="36">
        <v>0</v>
      </c>
      <c r="AZ31" s="36">
        <v>0</v>
      </c>
      <c r="BA31" s="26">
        <v>0</v>
      </c>
      <c r="BB31" s="53"/>
      <c r="BC31" s="54"/>
      <c r="BD31" s="27"/>
      <c r="BF31" s="2">
        <v>7</v>
      </c>
    </row>
    <row r="32" spans="1:63" ht="14.1" customHeight="1" x14ac:dyDescent="0.25">
      <c r="A32" s="43">
        <v>17</v>
      </c>
      <c r="B32" s="61" t="s">
        <v>109</v>
      </c>
      <c r="C32" s="63">
        <v>19614.896793209777</v>
      </c>
      <c r="D32" s="45"/>
      <c r="E32" s="49"/>
      <c r="F32" s="58"/>
      <c r="G32" s="140"/>
      <c r="H32" s="141"/>
      <c r="I32" s="142"/>
      <c r="J32" s="143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9"/>
      <c r="AB32" s="22"/>
      <c r="AC32" s="23"/>
      <c r="AD32" s="23"/>
      <c r="AE32" s="23"/>
      <c r="AF32" s="23"/>
      <c r="AG32" s="23"/>
      <c r="AH32" s="23"/>
      <c r="AI32" s="23"/>
      <c r="AJ32" s="23"/>
      <c r="AK32" s="24"/>
      <c r="AL32" s="25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36">
        <v>0</v>
      </c>
      <c r="AY32" s="36">
        <v>0</v>
      </c>
      <c r="AZ32" s="36">
        <v>0</v>
      </c>
      <c r="BA32" s="26">
        <v>0</v>
      </c>
      <c r="BB32" s="53"/>
      <c r="BC32" s="54"/>
      <c r="BD32" s="27"/>
      <c r="BF32" s="2">
        <v>7.5</v>
      </c>
    </row>
    <row r="33" spans="1:58" ht="14.1" customHeight="1" x14ac:dyDescent="0.25">
      <c r="A33" s="43">
        <v>18</v>
      </c>
      <c r="B33" s="61" t="s">
        <v>110</v>
      </c>
      <c r="C33" s="63">
        <v>14771.84237982509</v>
      </c>
      <c r="D33" s="45"/>
      <c r="E33" s="49"/>
      <c r="F33" s="58"/>
      <c r="G33" s="140"/>
      <c r="H33" s="141"/>
      <c r="I33" s="142"/>
      <c r="J33" s="143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9"/>
      <c r="AB33" s="22"/>
      <c r="AC33" s="23"/>
      <c r="AD33" s="23"/>
      <c r="AE33" s="23"/>
      <c r="AF33" s="23"/>
      <c r="AG33" s="23"/>
      <c r="AH33" s="23"/>
      <c r="AI33" s="23"/>
      <c r="AJ33" s="23"/>
      <c r="AK33" s="24"/>
      <c r="AL33" s="25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36">
        <v>0</v>
      </c>
      <c r="AY33" s="36">
        <v>0</v>
      </c>
      <c r="AZ33" s="36">
        <v>0</v>
      </c>
      <c r="BA33" s="26">
        <v>0</v>
      </c>
      <c r="BB33" s="53"/>
      <c r="BC33" s="54"/>
      <c r="BD33" s="27"/>
      <c r="BF33" s="2">
        <v>8</v>
      </c>
    </row>
    <row r="34" spans="1:58" ht="14.1" customHeight="1" x14ac:dyDescent="0.25">
      <c r="A34" s="43">
        <v>19</v>
      </c>
      <c r="B34" s="61" t="s">
        <v>111</v>
      </c>
      <c r="C34" s="63">
        <v>13566.319144245779</v>
      </c>
      <c r="D34" s="45"/>
      <c r="E34" s="49"/>
      <c r="F34" s="58"/>
      <c r="G34" s="140"/>
      <c r="H34" s="141"/>
      <c r="I34" s="142"/>
      <c r="J34" s="143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9"/>
      <c r="AB34" s="22"/>
      <c r="AC34" s="23"/>
      <c r="AD34" s="23"/>
      <c r="AE34" s="23"/>
      <c r="AF34" s="23"/>
      <c r="AG34" s="23"/>
      <c r="AH34" s="23"/>
      <c r="AI34" s="23"/>
      <c r="AJ34" s="23"/>
      <c r="AK34" s="24"/>
      <c r="AL34" s="25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36">
        <v>0</v>
      </c>
      <c r="AY34" s="36">
        <v>0</v>
      </c>
      <c r="AZ34" s="36">
        <v>0</v>
      </c>
      <c r="BA34" s="26">
        <v>0</v>
      </c>
      <c r="BB34" s="53"/>
      <c r="BC34" s="54"/>
      <c r="BD34" s="27"/>
      <c r="BF34" s="2">
        <v>8.5</v>
      </c>
    </row>
    <row r="35" spans="1:58" ht="14.1" customHeight="1" x14ac:dyDescent="0.25">
      <c r="A35" s="43">
        <v>20</v>
      </c>
      <c r="B35" s="61" t="s">
        <v>112</v>
      </c>
      <c r="C35" s="63">
        <v>24856.313681907079</v>
      </c>
      <c r="D35" s="45"/>
      <c r="E35" s="49"/>
      <c r="F35" s="58"/>
      <c r="G35" s="140"/>
      <c r="H35" s="141"/>
      <c r="I35" s="142"/>
      <c r="J35" s="143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9"/>
      <c r="AB35" s="22"/>
      <c r="AC35" s="23"/>
      <c r="AD35" s="23"/>
      <c r="AE35" s="23"/>
      <c r="AF35" s="23"/>
      <c r="AG35" s="23"/>
      <c r="AH35" s="23"/>
      <c r="AI35" s="23"/>
      <c r="AJ35" s="23"/>
      <c r="AK35" s="24"/>
      <c r="AL35" s="25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36">
        <v>0</v>
      </c>
      <c r="AY35" s="36">
        <v>0</v>
      </c>
      <c r="AZ35" s="36">
        <v>0</v>
      </c>
      <c r="BA35" s="26">
        <v>0</v>
      </c>
      <c r="BB35" s="53"/>
      <c r="BC35" s="54"/>
      <c r="BD35" s="27"/>
      <c r="BF35" s="2">
        <v>9</v>
      </c>
    </row>
    <row r="36" spans="1:58" ht="14.1" customHeight="1" x14ac:dyDescent="0.25">
      <c r="A36" s="43">
        <v>21</v>
      </c>
      <c r="B36" s="61" t="s">
        <v>113</v>
      </c>
      <c r="C36" s="63">
        <v>11345.347878404857</v>
      </c>
      <c r="D36" s="45"/>
      <c r="E36" s="49"/>
      <c r="F36" s="58"/>
      <c r="G36" s="140"/>
      <c r="H36" s="141"/>
      <c r="I36" s="142"/>
      <c r="J36" s="143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9"/>
      <c r="AB36" s="22"/>
      <c r="AC36" s="23"/>
      <c r="AD36" s="23"/>
      <c r="AE36" s="23"/>
      <c r="AF36" s="23"/>
      <c r="AG36" s="23"/>
      <c r="AH36" s="23"/>
      <c r="AI36" s="23"/>
      <c r="AJ36" s="23"/>
      <c r="AK36" s="24"/>
      <c r="AL36" s="25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36">
        <v>0</v>
      </c>
      <c r="AY36" s="36">
        <v>0</v>
      </c>
      <c r="AZ36" s="36">
        <v>0</v>
      </c>
      <c r="BA36" s="26">
        <v>0</v>
      </c>
      <c r="BB36" s="53"/>
      <c r="BC36" s="54"/>
      <c r="BD36" s="27"/>
      <c r="BF36" s="2">
        <v>9.5</v>
      </c>
    </row>
    <row r="37" spans="1:58" ht="14.1" customHeight="1" x14ac:dyDescent="0.25">
      <c r="A37" s="43">
        <v>22</v>
      </c>
      <c r="B37" s="61" t="s">
        <v>114</v>
      </c>
      <c r="C37" s="63">
        <v>34997.743675868827</v>
      </c>
      <c r="D37" s="45"/>
      <c r="E37" s="49"/>
      <c r="F37" s="58"/>
      <c r="G37" s="140"/>
      <c r="H37" s="141"/>
      <c r="I37" s="142"/>
      <c r="J37" s="143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9"/>
      <c r="AB37" s="22"/>
      <c r="AC37" s="23"/>
      <c r="AD37" s="23"/>
      <c r="AE37" s="23"/>
      <c r="AF37" s="23"/>
      <c r="AG37" s="23"/>
      <c r="AH37" s="23"/>
      <c r="AI37" s="23"/>
      <c r="AJ37" s="23"/>
      <c r="AK37" s="24"/>
      <c r="AL37" s="25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36">
        <v>0</v>
      </c>
      <c r="AY37" s="36">
        <v>0</v>
      </c>
      <c r="AZ37" s="36">
        <v>0</v>
      </c>
      <c r="BA37" s="26">
        <v>0</v>
      </c>
      <c r="BB37" s="53"/>
      <c r="BC37" s="54"/>
      <c r="BD37" s="27"/>
      <c r="BF37" s="2">
        <v>10</v>
      </c>
    </row>
    <row r="38" spans="1:58" ht="14.1" customHeight="1" x14ac:dyDescent="0.25">
      <c r="A38" s="43">
        <v>23</v>
      </c>
      <c r="B38" s="61" t="s">
        <v>115</v>
      </c>
      <c r="C38" s="63">
        <v>31915.204112600393</v>
      </c>
      <c r="D38" s="45"/>
      <c r="E38" s="49"/>
      <c r="F38" s="58"/>
      <c r="G38" s="140"/>
      <c r="H38" s="141"/>
      <c r="I38" s="142"/>
      <c r="J38" s="143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9"/>
      <c r="AB38" s="22"/>
      <c r="AC38" s="23"/>
      <c r="AD38" s="23"/>
      <c r="AE38" s="23"/>
      <c r="AF38" s="23"/>
      <c r="AG38" s="23"/>
      <c r="AH38" s="23"/>
      <c r="AI38" s="23"/>
      <c r="AJ38" s="23"/>
      <c r="AK38" s="24"/>
      <c r="AL38" s="25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36">
        <v>0</v>
      </c>
      <c r="AY38" s="36">
        <v>0</v>
      </c>
      <c r="AZ38" s="36">
        <v>0</v>
      </c>
      <c r="BA38" s="26">
        <v>0</v>
      </c>
      <c r="BB38" s="53"/>
      <c r="BC38" s="54"/>
      <c r="BD38" s="27"/>
      <c r="BF38" t="s">
        <v>42</v>
      </c>
    </row>
    <row r="39" spans="1:58" ht="14.1" customHeight="1" x14ac:dyDescent="0.25">
      <c r="A39" s="43">
        <v>24</v>
      </c>
      <c r="B39" s="61" t="s">
        <v>116</v>
      </c>
      <c r="C39" s="63">
        <v>41508.62401760088</v>
      </c>
      <c r="D39" s="45"/>
      <c r="E39" s="49"/>
      <c r="F39" s="58"/>
      <c r="G39" s="140"/>
      <c r="H39" s="141"/>
      <c r="I39" s="142"/>
      <c r="J39" s="143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9"/>
      <c r="AB39" s="22"/>
      <c r="AC39" s="23"/>
      <c r="AD39" s="23"/>
      <c r="AE39" s="23"/>
      <c r="AF39" s="23"/>
      <c r="AG39" s="23"/>
      <c r="AH39" s="23"/>
      <c r="AI39" s="23"/>
      <c r="AJ39" s="23"/>
      <c r="AK39" s="24"/>
      <c r="AL39" s="25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36">
        <v>0</v>
      </c>
      <c r="AY39" s="36">
        <v>0</v>
      </c>
      <c r="AZ39" s="36">
        <v>0</v>
      </c>
      <c r="BA39" s="26">
        <v>0</v>
      </c>
      <c r="BB39" s="53"/>
      <c r="BC39" s="54"/>
      <c r="BD39" s="27"/>
      <c r="BF39" t="s">
        <v>41</v>
      </c>
    </row>
    <row r="40" spans="1:58" ht="14.1" customHeight="1" x14ac:dyDescent="0.25">
      <c r="A40" s="43">
        <v>25</v>
      </c>
      <c r="B40" s="61" t="s">
        <v>117</v>
      </c>
      <c r="C40" s="63">
        <v>8611.6699383799078</v>
      </c>
      <c r="D40" s="45"/>
      <c r="E40" s="49"/>
      <c r="F40" s="58"/>
      <c r="G40" s="140"/>
      <c r="H40" s="141"/>
      <c r="I40" s="142"/>
      <c r="J40" s="143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9"/>
      <c r="AB40" s="22"/>
      <c r="AC40" s="23"/>
      <c r="AD40" s="23"/>
      <c r="AE40" s="23"/>
      <c r="AF40" s="23"/>
      <c r="AG40" s="23"/>
      <c r="AH40" s="23"/>
      <c r="AI40" s="23"/>
      <c r="AJ40" s="23"/>
      <c r="AK40" s="24"/>
      <c r="AL40" s="25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36">
        <v>0</v>
      </c>
      <c r="AY40" s="36">
        <v>0</v>
      </c>
      <c r="AZ40" s="36">
        <v>0</v>
      </c>
      <c r="BA40" s="26">
        <v>0</v>
      </c>
      <c r="BB40" s="53"/>
      <c r="BC40" s="54"/>
      <c r="BD40" s="27"/>
    </row>
    <row r="41" spans="1:58" ht="14.1" customHeight="1" x14ac:dyDescent="0.25">
      <c r="A41" s="43">
        <v>26</v>
      </c>
      <c r="B41" s="61" t="s">
        <v>118</v>
      </c>
      <c r="C41" s="63">
        <v>9692.555965920681</v>
      </c>
      <c r="D41" s="45"/>
      <c r="E41" s="49"/>
      <c r="F41" s="58"/>
      <c r="G41" s="140"/>
      <c r="H41" s="141"/>
      <c r="I41" s="142"/>
      <c r="J41" s="143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9"/>
      <c r="AB41" s="22"/>
      <c r="AC41" s="23"/>
      <c r="AD41" s="23"/>
      <c r="AE41" s="23"/>
      <c r="AF41" s="23"/>
      <c r="AG41" s="23"/>
      <c r="AH41" s="23"/>
      <c r="AI41" s="23"/>
      <c r="AJ41" s="23"/>
      <c r="AK41" s="24"/>
      <c r="AL41" s="25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36">
        <v>0</v>
      </c>
      <c r="AY41" s="36">
        <v>0</v>
      </c>
      <c r="AZ41" s="36">
        <v>0</v>
      </c>
      <c r="BA41" s="26">
        <v>0</v>
      </c>
      <c r="BB41" s="53"/>
      <c r="BC41" s="54"/>
      <c r="BD41" s="27"/>
    </row>
    <row r="42" spans="1:58" ht="14.1" customHeight="1" x14ac:dyDescent="0.25">
      <c r="A42" s="43">
        <v>27</v>
      </c>
      <c r="B42" s="61" t="s">
        <v>119</v>
      </c>
      <c r="C42" s="63">
        <v>6880.1253741175087</v>
      </c>
      <c r="D42" s="45"/>
      <c r="E42" s="49"/>
      <c r="F42" s="58"/>
      <c r="G42" s="140"/>
      <c r="H42" s="141"/>
      <c r="I42" s="142"/>
      <c r="J42" s="143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9"/>
      <c r="AB42" s="22"/>
      <c r="AC42" s="23"/>
      <c r="AD42" s="23"/>
      <c r="AE42" s="23"/>
      <c r="AF42" s="23"/>
      <c r="AG42" s="23"/>
      <c r="AH42" s="23"/>
      <c r="AI42" s="23"/>
      <c r="AJ42" s="23"/>
      <c r="AK42" s="24"/>
      <c r="AL42" s="25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36">
        <v>0</v>
      </c>
      <c r="AY42" s="36">
        <v>0</v>
      </c>
      <c r="AZ42" s="36">
        <v>0</v>
      </c>
      <c r="BA42" s="26">
        <v>0</v>
      </c>
      <c r="BB42" s="53"/>
      <c r="BC42" s="54"/>
      <c r="BD42" s="27"/>
    </row>
    <row r="43" spans="1:58" ht="14.1" customHeight="1" x14ac:dyDescent="0.25">
      <c r="A43" s="43">
        <v>28</v>
      </c>
      <c r="B43" s="61" t="s">
        <v>120</v>
      </c>
      <c r="C43" s="63">
        <v>19362.148548673063</v>
      </c>
      <c r="D43" s="45"/>
      <c r="E43" s="49"/>
      <c r="F43" s="58"/>
      <c r="G43" s="140"/>
      <c r="H43" s="141"/>
      <c r="I43" s="142"/>
      <c r="J43" s="143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9"/>
      <c r="AB43" s="22"/>
      <c r="AC43" s="23"/>
      <c r="AD43" s="23"/>
      <c r="AE43" s="23"/>
      <c r="AF43" s="23"/>
      <c r="AG43" s="23"/>
      <c r="AH43" s="23"/>
      <c r="AI43" s="23"/>
      <c r="AJ43" s="23"/>
      <c r="AK43" s="24"/>
      <c r="AL43" s="25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36">
        <v>0</v>
      </c>
      <c r="AY43" s="36">
        <v>0</v>
      </c>
      <c r="AZ43" s="36">
        <v>0</v>
      </c>
      <c r="BA43" s="26">
        <v>0</v>
      </c>
      <c r="BB43" s="53"/>
      <c r="BC43" s="54"/>
      <c r="BD43" s="27"/>
    </row>
    <row r="44" spans="1:58" ht="14.1" customHeight="1" x14ac:dyDescent="0.25">
      <c r="A44" s="43">
        <v>29</v>
      </c>
      <c r="B44" s="61" t="s">
        <v>121</v>
      </c>
      <c r="C44" s="63">
        <v>43259.854114857313</v>
      </c>
      <c r="D44" s="45"/>
      <c r="E44" s="49"/>
      <c r="F44" s="58"/>
      <c r="G44" s="140"/>
      <c r="H44" s="141"/>
      <c r="I44" s="142"/>
      <c r="J44" s="143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9"/>
      <c r="AB44" s="22"/>
      <c r="AC44" s="23"/>
      <c r="AD44" s="23"/>
      <c r="AE44" s="23"/>
      <c r="AF44" s="23"/>
      <c r="AG44" s="23"/>
      <c r="AH44" s="23"/>
      <c r="AI44" s="23"/>
      <c r="AJ44" s="23"/>
      <c r="AK44" s="24"/>
      <c r="AL44" s="25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36">
        <v>0</v>
      </c>
      <c r="AY44" s="36">
        <v>0</v>
      </c>
      <c r="AZ44" s="36">
        <v>0</v>
      </c>
      <c r="BA44" s="26">
        <v>0</v>
      </c>
      <c r="BB44" s="53"/>
      <c r="BC44" s="54"/>
      <c r="BD44" s="27"/>
    </row>
    <row r="45" spans="1:58" ht="14.1" customHeight="1" x14ac:dyDescent="0.25">
      <c r="A45" s="43">
        <v>30</v>
      </c>
      <c r="B45" s="61" t="s">
        <v>122</v>
      </c>
      <c r="C45" s="63">
        <v>38461.812130460763</v>
      </c>
      <c r="D45" s="45"/>
      <c r="E45" s="49"/>
      <c r="F45" s="58"/>
      <c r="G45" s="140"/>
      <c r="H45" s="141"/>
      <c r="I45" s="142"/>
      <c r="J45" s="143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9"/>
      <c r="AB45" s="22"/>
      <c r="AC45" s="23"/>
      <c r="AD45" s="23"/>
      <c r="AE45" s="23"/>
      <c r="AF45" s="23"/>
      <c r="AG45" s="23"/>
      <c r="AH45" s="23"/>
      <c r="AI45" s="23"/>
      <c r="AJ45" s="23"/>
      <c r="AK45" s="24"/>
      <c r="AL45" s="25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36">
        <v>0</v>
      </c>
      <c r="AY45" s="36">
        <v>0</v>
      </c>
      <c r="AZ45" s="36">
        <v>0</v>
      </c>
      <c r="BA45" s="26">
        <v>0</v>
      </c>
      <c r="BB45" s="53"/>
      <c r="BC45" s="54"/>
      <c r="BD45" s="27"/>
    </row>
    <row r="46" spans="1:58" ht="14.1" customHeight="1" x14ac:dyDescent="0.25">
      <c r="A46" s="43">
        <v>31</v>
      </c>
      <c r="B46" s="61"/>
      <c r="C46" s="63"/>
      <c r="D46" s="45"/>
      <c r="E46" s="49"/>
      <c r="F46" s="58"/>
      <c r="G46" s="140"/>
      <c r="H46" s="141"/>
      <c r="I46" s="142"/>
      <c r="J46" s="143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9"/>
      <c r="AB46" s="22"/>
      <c r="AC46" s="23"/>
      <c r="AD46" s="23"/>
      <c r="AE46" s="23"/>
      <c r="AF46" s="23"/>
      <c r="AG46" s="23"/>
      <c r="AH46" s="23"/>
      <c r="AI46" s="23"/>
      <c r="AJ46" s="23"/>
      <c r="AK46" s="24"/>
      <c r="AL46" s="25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36">
        <v>0</v>
      </c>
      <c r="AY46" s="36">
        <v>0</v>
      </c>
      <c r="AZ46" s="36">
        <v>0</v>
      </c>
      <c r="BA46" s="26">
        <v>0</v>
      </c>
      <c r="BB46" s="53"/>
      <c r="BC46" s="54"/>
      <c r="BD46" s="27"/>
    </row>
    <row r="47" spans="1:58" ht="14.1" customHeight="1" x14ac:dyDescent="0.25">
      <c r="A47" s="43">
        <v>32</v>
      </c>
      <c r="B47" s="61"/>
      <c r="C47" s="63"/>
      <c r="D47" s="45"/>
      <c r="E47" s="49"/>
      <c r="F47" s="58"/>
      <c r="G47" s="140"/>
      <c r="H47" s="141"/>
      <c r="I47" s="142"/>
      <c r="J47" s="143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9"/>
      <c r="AB47" s="22"/>
      <c r="AC47" s="23"/>
      <c r="AD47" s="23"/>
      <c r="AE47" s="23"/>
      <c r="AF47" s="23"/>
      <c r="AG47" s="23"/>
      <c r="AH47" s="23"/>
      <c r="AI47" s="23"/>
      <c r="AJ47" s="23"/>
      <c r="AK47" s="24"/>
      <c r="AL47" s="25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36">
        <v>0</v>
      </c>
      <c r="AY47" s="36">
        <v>0</v>
      </c>
      <c r="AZ47" s="36">
        <v>0</v>
      </c>
      <c r="BA47" s="26">
        <v>0</v>
      </c>
      <c r="BB47" s="53"/>
      <c r="BC47" s="54"/>
      <c r="BD47" s="27"/>
    </row>
    <row r="48" spans="1:58" ht="14.1" customHeight="1" x14ac:dyDescent="0.25">
      <c r="A48" s="43">
        <v>33</v>
      </c>
      <c r="B48" s="61"/>
      <c r="C48" s="63"/>
      <c r="D48" s="45"/>
      <c r="E48" s="49"/>
      <c r="F48" s="58"/>
      <c r="G48" s="140"/>
      <c r="H48" s="141"/>
      <c r="I48" s="142"/>
      <c r="J48" s="143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9"/>
      <c r="AB48" s="22"/>
      <c r="AC48" s="23"/>
      <c r="AD48" s="23"/>
      <c r="AE48" s="23"/>
      <c r="AF48" s="23"/>
      <c r="AG48" s="23"/>
      <c r="AH48" s="23"/>
      <c r="AI48" s="23"/>
      <c r="AJ48" s="23"/>
      <c r="AK48" s="24"/>
      <c r="AL48" s="25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36">
        <v>0</v>
      </c>
      <c r="AY48" s="36">
        <v>0</v>
      </c>
      <c r="AZ48" s="36">
        <v>0</v>
      </c>
      <c r="BA48" s="26">
        <v>0</v>
      </c>
      <c r="BB48" s="53"/>
      <c r="BC48" s="54"/>
      <c r="BD48" s="27"/>
    </row>
    <row r="49" spans="1:56" ht="14.1" customHeight="1" x14ac:dyDescent="0.25">
      <c r="A49" s="43">
        <v>34</v>
      </c>
      <c r="B49" s="61"/>
      <c r="C49" s="63"/>
      <c r="D49" s="45"/>
      <c r="E49" s="49"/>
      <c r="F49" s="58"/>
      <c r="G49" s="140"/>
      <c r="H49" s="141"/>
      <c r="I49" s="142"/>
      <c r="J49" s="143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9"/>
      <c r="AB49" s="22"/>
      <c r="AC49" s="23"/>
      <c r="AD49" s="23"/>
      <c r="AE49" s="23"/>
      <c r="AF49" s="23"/>
      <c r="AG49" s="23"/>
      <c r="AH49" s="23"/>
      <c r="AI49" s="23"/>
      <c r="AJ49" s="23"/>
      <c r="AK49" s="24"/>
      <c r="AL49" s="25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36">
        <v>0</v>
      </c>
      <c r="AY49" s="36">
        <v>0</v>
      </c>
      <c r="AZ49" s="36">
        <v>0</v>
      </c>
      <c r="BA49" s="26">
        <v>0</v>
      </c>
      <c r="BB49" s="53"/>
      <c r="BC49" s="54"/>
      <c r="BD49" s="27"/>
    </row>
    <row r="50" spans="1:56" ht="14.1" customHeight="1" x14ac:dyDescent="0.25">
      <c r="A50" s="43">
        <v>35</v>
      </c>
      <c r="B50" s="61"/>
      <c r="C50" s="63"/>
      <c r="D50" s="45"/>
      <c r="E50" s="49"/>
      <c r="F50" s="58"/>
      <c r="G50" s="140"/>
      <c r="H50" s="141"/>
      <c r="I50" s="142"/>
      <c r="J50" s="143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9"/>
      <c r="AB50" s="22"/>
      <c r="AC50" s="23"/>
      <c r="AD50" s="23"/>
      <c r="AE50" s="23"/>
      <c r="AF50" s="23"/>
      <c r="AG50" s="23"/>
      <c r="AH50" s="23"/>
      <c r="AI50" s="23"/>
      <c r="AJ50" s="23"/>
      <c r="AK50" s="24"/>
      <c r="AL50" s="25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36">
        <v>0</v>
      </c>
      <c r="AY50" s="36">
        <v>0</v>
      </c>
      <c r="AZ50" s="36">
        <v>0</v>
      </c>
      <c r="BA50" s="26">
        <v>0</v>
      </c>
      <c r="BB50" s="53"/>
      <c r="BC50" s="54"/>
      <c r="BD50" s="27"/>
    </row>
    <row r="51" spans="1:56" ht="14.1" customHeight="1" x14ac:dyDescent="0.25">
      <c r="A51" s="43">
        <v>36</v>
      </c>
      <c r="B51" s="61"/>
      <c r="C51" s="63"/>
      <c r="D51" s="45"/>
      <c r="E51" s="49"/>
      <c r="F51" s="58"/>
      <c r="G51" s="140"/>
      <c r="H51" s="141"/>
      <c r="I51" s="142"/>
      <c r="J51" s="143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9"/>
      <c r="AB51" s="22"/>
      <c r="AC51" s="23"/>
      <c r="AD51" s="23"/>
      <c r="AE51" s="23"/>
      <c r="AF51" s="23"/>
      <c r="AG51" s="23"/>
      <c r="AH51" s="23"/>
      <c r="AI51" s="23"/>
      <c r="AJ51" s="23"/>
      <c r="AK51" s="24"/>
      <c r="AL51" s="25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36">
        <v>0</v>
      </c>
      <c r="AY51" s="36">
        <v>0</v>
      </c>
      <c r="AZ51" s="36">
        <v>0</v>
      </c>
      <c r="BA51" s="26">
        <v>0</v>
      </c>
      <c r="BB51" s="53"/>
      <c r="BC51" s="54"/>
      <c r="BD51" s="27"/>
    </row>
    <row r="52" spans="1:56" ht="14.1" customHeight="1" x14ac:dyDescent="0.25">
      <c r="A52" s="43">
        <v>37</v>
      </c>
      <c r="B52" s="61"/>
      <c r="C52" s="63"/>
      <c r="D52" s="45"/>
      <c r="E52" s="49"/>
      <c r="F52" s="58"/>
      <c r="G52" s="140"/>
      <c r="H52" s="141"/>
      <c r="I52" s="142"/>
      <c r="J52" s="143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9"/>
      <c r="AB52" s="22"/>
      <c r="AC52" s="23"/>
      <c r="AD52" s="23"/>
      <c r="AE52" s="23"/>
      <c r="AF52" s="23"/>
      <c r="AG52" s="23"/>
      <c r="AH52" s="23"/>
      <c r="AI52" s="23"/>
      <c r="AJ52" s="23"/>
      <c r="AK52" s="24"/>
      <c r="AL52" s="25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36">
        <v>0</v>
      </c>
      <c r="AY52" s="36">
        <v>0</v>
      </c>
      <c r="AZ52" s="36">
        <v>0</v>
      </c>
      <c r="BA52" s="26">
        <v>0</v>
      </c>
      <c r="BB52" s="53"/>
      <c r="BC52" s="54"/>
      <c r="BD52" s="27"/>
    </row>
    <row r="53" spans="1:56" ht="14.1" customHeight="1" x14ac:dyDescent="0.25">
      <c r="A53" s="43">
        <v>38</v>
      </c>
      <c r="B53" s="61"/>
      <c r="C53" s="63"/>
      <c r="D53" s="45"/>
      <c r="E53" s="49"/>
      <c r="F53" s="58"/>
      <c r="G53" s="140"/>
      <c r="H53" s="141"/>
      <c r="I53" s="142"/>
      <c r="J53" s="143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9"/>
      <c r="AB53" s="22"/>
      <c r="AC53" s="23"/>
      <c r="AD53" s="23"/>
      <c r="AE53" s="23"/>
      <c r="AF53" s="23"/>
      <c r="AG53" s="23"/>
      <c r="AH53" s="23"/>
      <c r="AI53" s="23"/>
      <c r="AJ53" s="23"/>
      <c r="AK53" s="24"/>
      <c r="AL53" s="25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36">
        <v>0</v>
      </c>
      <c r="AY53" s="36">
        <v>0</v>
      </c>
      <c r="AZ53" s="36">
        <v>0</v>
      </c>
      <c r="BA53" s="26">
        <v>0</v>
      </c>
      <c r="BB53" s="53"/>
      <c r="BC53" s="54"/>
      <c r="BD53" s="27"/>
    </row>
    <row r="54" spans="1:56" ht="14.1" customHeight="1" x14ac:dyDescent="0.25">
      <c r="A54" s="43">
        <v>39</v>
      </c>
      <c r="B54" s="61"/>
      <c r="C54" s="63"/>
      <c r="D54" s="45"/>
      <c r="E54" s="49"/>
      <c r="F54" s="58"/>
      <c r="G54" s="140"/>
      <c r="H54" s="141"/>
      <c r="I54" s="142"/>
      <c r="J54" s="143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9"/>
      <c r="AB54" s="22"/>
      <c r="AC54" s="23"/>
      <c r="AD54" s="23"/>
      <c r="AE54" s="23"/>
      <c r="AF54" s="23"/>
      <c r="AG54" s="23"/>
      <c r="AH54" s="23"/>
      <c r="AI54" s="23"/>
      <c r="AJ54" s="23"/>
      <c r="AK54" s="24"/>
      <c r="AL54" s="25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36">
        <v>0</v>
      </c>
      <c r="AY54" s="36">
        <v>0</v>
      </c>
      <c r="AZ54" s="36">
        <v>0</v>
      </c>
      <c r="BA54" s="26">
        <v>0</v>
      </c>
      <c r="BB54" s="53"/>
      <c r="BC54" s="54"/>
      <c r="BD54" s="27"/>
    </row>
    <row r="55" spans="1:56" ht="14.1" customHeight="1" x14ac:dyDescent="0.25">
      <c r="A55" s="43">
        <v>40</v>
      </c>
      <c r="B55" s="61"/>
      <c r="C55" s="63"/>
      <c r="D55" s="45"/>
      <c r="E55" s="49"/>
      <c r="F55" s="58"/>
      <c r="G55" s="140"/>
      <c r="H55" s="141"/>
      <c r="I55" s="142"/>
      <c r="J55" s="143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9"/>
      <c r="AB55" s="22"/>
      <c r="AC55" s="23"/>
      <c r="AD55" s="23"/>
      <c r="AE55" s="23"/>
      <c r="AF55" s="23"/>
      <c r="AG55" s="23"/>
      <c r="AH55" s="23"/>
      <c r="AI55" s="23"/>
      <c r="AJ55" s="23"/>
      <c r="AK55" s="24"/>
      <c r="AL55" s="25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36">
        <v>0</v>
      </c>
      <c r="AY55" s="36">
        <v>0</v>
      </c>
      <c r="AZ55" s="36">
        <v>0</v>
      </c>
      <c r="BA55" s="26">
        <v>0</v>
      </c>
      <c r="BB55" s="53"/>
      <c r="BC55" s="54"/>
      <c r="BD55" s="27"/>
    </row>
    <row r="56" spans="1:56" ht="14.1" customHeight="1" x14ac:dyDescent="0.25">
      <c r="A56" s="43">
        <v>41</v>
      </c>
      <c r="B56" s="61"/>
      <c r="C56" s="63"/>
      <c r="D56" s="45"/>
      <c r="E56" s="49"/>
      <c r="F56" s="58"/>
      <c r="G56" s="140"/>
      <c r="H56" s="141"/>
      <c r="I56" s="142"/>
      <c r="J56" s="143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9"/>
      <c r="AB56" s="22"/>
      <c r="AC56" s="23"/>
      <c r="AD56" s="23"/>
      <c r="AE56" s="23"/>
      <c r="AF56" s="23"/>
      <c r="AG56" s="23"/>
      <c r="AH56" s="23"/>
      <c r="AI56" s="23"/>
      <c r="AJ56" s="23"/>
      <c r="AK56" s="24"/>
      <c r="AL56" s="25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36">
        <v>0</v>
      </c>
      <c r="AY56" s="36">
        <v>0</v>
      </c>
      <c r="AZ56" s="36">
        <v>0</v>
      </c>
      <c r="BA56" s="26">
        <v>0</v>
      </c>
      <c r="BB56" s="53"/>
      <c r="BC56" s="54"/>
      <c r="BD56" s="27"/>
    </row>
    <row r="57" spans="1:56" ht="14.1" customHeight="1" x14ac:dyDescent="0.25">
      <c r="A57" s="43">
        <v>42</v>
      </c>
      <c r="B57" s="61"/>
      <c r="C57" s="63"/>
      <c r="D57" s="45"/>
      <c r="E57" s="49"/>
      <c r="F57" s="58"/>
      <c r="G57" s="140"/>
      <c r="H57" s="141"/>
      <c r="I57" s="142"/>
      <c r="J57" s="143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9"/>
      <c r="AB57" s="22"/>
      <c r="AC57" s="23"/>
      <c r="AD57" s="23"/>
      <c r="AE57" s="23"/>
      <c r="AF57" s="23"/>
      <c r="AG57" s="23"/>
      <c r="AH57" s="23"/>
      <c r="AI57" s="23"/>
      <c r="AJ57" s="23"/>
      <c r="AK57" s="24"/>
      <c r="AL57" s="25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36">
        <v>0</v>
      </c>
      <c r="AY57" s="36">
        <v>0</v>
      </c>
      <c r="AZ57" s="36">
        <v>0</v>
      </c>
      <c r="BA57" s="26">
        <v>0</v>
      </c>
      <c r="BB57" s="53"/>
      <c r="BC57" s="54"/>
      <c r="BD57" s="27"/>
    </row>
    <row r="58" spans="1:56" ht="14.1" customHeight="1" x14ac:dyDescent="0.25">
      <c r="A58" s="43">
        <v>43</v>
      </c>
      <c r="B58" s="61"/>
      <c r="C58" s="63"/>
      <c r="D58" s="45"/>
      <c r="E58" s="49"/>
      <c r="F58" s="58"/>
      <c r="G58" s="140"/>
      <c r="H58" s="141"/>
      <c r="I58" s="142"/>
      <c r="J58" s="143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9"/>
      <c r="AB58" s="22"/>
      <c r="AC58" s="23"/>
      <c r="AD58" s="23"/>
      <c r="AE58" s="23"/>
      <c r="AF58" s="23"/>
      <c r="AG58" s="23"/>
      <c r="AH58" s="23"/>
      <c r="AI58" s="23"/>
      <c r="AJ58" s="23"/>
      <c r="AK58" s="24"/>
      <c r="AL58" s="25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36">
        <v>0</v>
      </c>
      <c r="AY58" s="36">
        <v>0</v>
      </c>
      <c r="AZ58" s="36">
        <v>0</v>
      </c>
      <c r="BA58" s="26">
        <v>0</v>
      </c>
      <c r="BB58" s="53"/>
      <c r="BC58" s="54"/>
      <c r="BD58" s="27"/>
    </row>
    <row r="59" spans="1:56" ht="14.1" customHeight="1" x14ac:dyDescent="0.25">
      <c r="A59" s="43">
        <v>44</v>
      </c>
      <c r="B59" s="61"/>
      <c r="C59" s="63"/>
      <c r="D59" s="45"/>
      <c r="E59" s="49"/>
      <c r="F59" s="58"/>
      <c r="G59" s="140"/>
      <c r="H59" s="141"/>
      <c r="I59" s="142"/>
      <c r="J59" s="143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9"/>
      <c r="AB59" s="22"/>
      <c r="AC59" s="23"/>
      <c r="AD59" s="23"/>
      <c r="AE59" s="23"/>
      <c r="AF59" s="23"/>
      <c r="AG59" s="23"/>
      <c r="AH59" s="23"/>
      <c r="AI59" s="23"/>
      <c r="AJ59" s="23"/>
      <c r="AK59" s="24"/>
      <c r="AL59" s="25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36">
        <v>0</v>
      </c>
      <c r="AY59" s="36">
        <v>0</v>
      </c>
      <c r="AZ59" s="36">
        <v>0</v>
      </c>
      <c r="BA59" s="26">
        <v>0</v>
      </c>
      <c r="BB59" s="53"/>
      <c r="BC59" s="54"/>
      <c r="BD59" s="27"/>
    </row>
    <row r="60" spans="1:56" ht="14.1" customHeight="1" x14ac:dyDescent="0.25">
      <c r="A60" s="43">
        <v>45</v>
      </c>
      <c r="B60" s="61"/>
      <c r="C60" s="63"/>
      <c r="D60" s="45"/>
      <c r="E60" s="49"/>
      <c r="F60" s="58"/>
      <c r="G60" s="140"/>
      <c r="H60" s="141"/>
      <c r="I60" s="142"/>
      <c r="J60" s="143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9"/>
      <c r="AB60" s="22"/>
      <c r="AC60" s="23"/>
      <c r="AD60" s="23"/>
      <c r="AE60" s="23"/>
      <c r="AF60" s="23"/>
      <c r="AG60" s="23"/>
      <c r="AH60" s="23"/>
      <c r="AI60" s="23"/>
      <c r="AJ60" s="23"/>
      <c r="AK60" s="24"/>
      <c r="AL60" s="25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36">
        <v>0</v>
      </c>
      <c r="AY60" s="36">
        <v>0</v>
      </c>
      <c r="AZ60" s="36">
        <v>0</v>
      </c>
      <c r="BA60" s="26">
        <v>0</v>
      </c>
      <c r="BB60" s="53"/>
      <c r="BC60" s="54"/>
      <c r="BD60" s="27"/>
    </row>
    <row r="61" spans="1:56" ht="14.1" customHeight="1" x14ac:dyDescent="0.25">
      <c r="A61" s="43">
        <v>46</v>
      </c>
      <c r="B61" s="61"/>
      <c r="C61" s="63"/>
      <c r="D61" s="45"/>
      <c r="E61" s="49"/>
      <c r="F61" s="58"/>
      <c r="G61" s="140"/>
      <c r="H61" s="141"/>
      <c r="I61" s="142"/>
      <c r="J61" s="143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9"/>
      <c r="AB61" s="22"/>
      <c r="AC61" s="23"/>
      <c r="AD61" s="23"/>
      <c r="AE61" s="23"/>
      <c r="AF61" s="23"/>
      <c r="AG61" s="23"/>
      <c r="AH61" s="23"/>
      <c r="AI61" s="23"/>
      <c r="AJ61" s="23"/>
      <c r="AK61" s="24"/>
      <c r="AL61" s="25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36">
        <v>0</v>
      </c>
      <c r="AY61" s="36">
        <v>0</v>
      </c>
      <c r="AZ61" s="36">
        <v>0</v>
      </c>
      <c r="BA61" s="26">
        <v>0</v>
      </c>
      <c r="BB61" s="53"/>
      <c r="BC61" s="54"/>
      <c r="BD61" s="27"/>
    </row>
    <row r="62" spans="1:56" ht="14.1" customHeight="1" x14ac:dyDescent="0.25">
      <c r="A62" s="43">
        <v>47</v>
      </c>
      <c r="B62" s="61"/>
      <c r="C62" s="63"/>
      <c r="D62" s="45"/>
      <c r="E62" s="49"/>
      <c r="F62" s="58"/>
      <c r="G62" s="140"/>
      <c r="H62" s="141"/>
      <c r="I62" s="142"/>
      <c r="J62" s="143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9"/>
      <c r="AB62" s="22"/>
      <c r="AC62" s="23"/>
      <c r="AD62" s="23"/>
      <c r="AE62" s="23"/>
      <c r="AF62" s="23"/>
      <c r="AG62" s="23"/>
      <c r="AH62" s="23"/>
      <c r="AI62" s="23"/>
      <c r="AJ62" s="23"/>
      <c r="AK62" s="24"/>
      <c r="AL62" s="25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36">
        <v>0</v>
      </c>
      <c r="AY62" s="36">
        <v>0</v>
      </c>
      <c r="AZ62" s="36">
        <v>0</v>
      </c>
      <c r="BA62" s="26">
        <v>0</v>
      </c>
      <c r="BB62" s="53"/>
      <c r="BC62" s="54"/>
      <c r="BD62" s="27"/>
    </row>
    <row r="63" spans="1:56" ht="14.1" customHeight="1" x14ac:dyDescent="0.25">
      <c r="A63" s="43">
        <v>48</v>
      </c>
      <c r="B63" s="61"/>
      <c r="C63" s="63"/>
      <c r="D63" s="45"/>
      <c r="E63" s="49"/>
      <c r="F63" s="58"/>
      <c r="G63" s="140"/>
      <c r="H63" s="141"/>
      <c r="I63" s="142"/>
      <c r="J63" s="143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9"/>
      <c r="AB63" s="22"/>
      <c r="AC63" s="23"/>
      <c r="AD63" s="23"/>
      <c r="AE63" s="23"/>
      <c r="AF63" s="23"/>
      <c r="AG63" s="23"/>
      <c r="AH63" s="23"/>
      <c r="AI63" s="23"/>
      <c r="AJ63" s="23"/>
      <c r="AK63" s="24"/>
      <c r="AL63" s="25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36">
        <v>0</v>
      </c>
      <c r="AY63" s="36">
        <v>0</v>
      </c>
      <c r="AZ63" s="36">
        <v>0</v>
      </c>
      <c r="BA63" s="26">
        <v>0</v>
      </c>
      <c r="BB63" s="53"/>
      <c r="BC63" s="54"/>
      <c r="BD63" s="27"/>
    </row>
    <row r="64" spans="1:56" ht="14.1" customHeight="1" x14ac:dyDescent="0.25">
      <c r="A64" s="43">
        <v>49</v>
      </c>
      <c r="B64" s="61"/>
      <c r="C64" s="63"/>
      <c r="D64" s="45"/>
      <c r="E64" s="49"/>
      <c r="F64" s="58"/>
      <c r="G64" s="140"/>
      <c r="H64" s="141"/>
      <c r="I64" s="142"/>
      <c r="J64" s="143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9"/>
      <c r="AB64" s="22"/>
      <c r="AC64" s="23"/>
      <c r="AD64" s="23"/>
      <c r="AE64" s="23"/>
      <c r="AF64" s="23"/>
      <c r="AG64" s="23"/>
      <c r="AH64" s="23"/>
      <c r="AI64" s="23"/>
      <c r="AJ64" s="23"/>
      <c r="AK64" s="24"/>
      <c r="AL64" s="25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36">
        <v>0</v>
      </c>
      <c r="AY64" s="36">
        <v>0</v>
      </c>
      <c r="AZ64" s="36">
        <v>0</v>
      </c>
      <c r="BA64" s="26">
        <v>0</v>
      </c>
      <c r="BB64" s="53"/>
      <c r="BC64" s="54"/>
      <c r="BD64" s="27"/>
    </row>
    <row r="65" spans="1:56" ht="14.1" customHeight="1" thickBot="1" x14ac:dyDescent="0.3">
      <c r="A65" s="43">
        <v>50</v>
      </c>
      <c r="B65" s="61"/>
      <c r="C65" s="64"/>
      <c r="D65" s="46"/>
      <c r="E65" s="50"/>
      <c r="F65" s="59"/>
      <c r="G65" s="170"/>
      <c r="H65" s="171"/>
      <c r="I65" s="172"/>
      <c r="J65" s="173"/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9"/>
      <c r="AB65" s="22"/>
      <c r="AC65" s="28"/>
      <c r="AD65" s="28"/>
      <c r="AE65" s="28"/>
      <c r="AF65" s="28"/>
      <c r="AG65" s="28"/>
      <c r="AH65" s="28"/>
      <c r="AI65" s="28"/>
      <c r="AJ65" s="28"/>
      <c r="AK65" s="29"/>
      <c r="AL65" s="30"/>
      <c r="AM65" s="28"/>
      <c r="AN65" s="28"/>
      <c r="AO65" s="28"/>
      <c r="AP65" s="28"/>
      <c r="AQ65" s="28"/>
      <c r="AR65" s="28"/>
      <c r="AS65" s="28"/>
      <c r="AT65" s="28"/>
      <c r="AU65" s="28"/>
      <c r="AV65" s="28"/>
      <c r="AW65" s="28"/>
      <c r="AX65" s="38">
        <v>0</v>
      </c>
      <c r="AY65" s="38">
        <v>0</v>
      </c>
      <c r="AZ65" s="38">
        <v>0</v>
      </c>
      <c r="BA65" s="31">
        <v>0</v>
      </c>
      <c r="BB65" s="55"/>
      <c r="BC65" s="56"/>
      <c r="BD65" s="32"/>
    </row>
    <row r="66" spans="1:56" s="11" customFormat="1" ht="20.100000000000001" customHeight="1" x14ac:dyDescent="0.25">
      <c r="A66" s="155"/>
      <c r="B66" s="155"/>
      <c r="C66" s="67"/>
      <c r="D66" s="6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5"/>
      <c r="AC66" s="155"/>
      <c r="AD66" s="155"/>
      <c r="AE66" s="155"/>
      <c r="AF66" s="155"/>
      <c r="AG66" s="155"/>
      <c r="AH66" s="68"/>
      <c r="AI66" s="155"/>
      <c r="AJ66" s="155"/>
      <c r="AK66" s="155"/>
      <c r="AL66" s="155"/>
      <c r="AM66" s="155"/>
      <c r="AN66" s="155"/>
      <c r="AO66" s="155"/>
      <c r="AP66" s="155"/>
      <c r="AQ66" s="155"/>
      <c r="AR66" s="155"/>
      <c r="AS66" s="155"/>
      <c r="AT66" s="155"/>
      <c r="AU66" s="155"/>
      <c r="AV66" s="155"/>
      <c r="AW66" s="155"/>
      <c r="AX66" s="155"/>
      <c r="AY66" s="155"/>
      <c r="AZ66" s="155"/>
      <c r="BA66" s="155"/>
      <c r="BB66" s="155"/>
      <c r="BC66" s="155"/>
      <c r="BD66" s="155"/>
    </row>
    <row r="67" spans="1:56" s="11" customFormat="1" ht="20.100000000000001" customHeight="1" x14ac:dyDescent="0.25">
      <c r="A67" s="156"/>
      <c r="B67" s="156"/>
      <c r="C67" s="67"/>
      <c r="D67" s="68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68"/>
      <c r="AI67" s="156"/>
      <c r="AJ67" s="156"/>
      <c r="AK67" s="156"/>
      <c r="AL67" s="156"/>
      <c r="AM67" s="156"/>
      <c r="AN67" s="156"/>
      <c r="AO67" s="156"/>
      <c r="AP67" s="156"/>
      <c r="AQ67" s="156"/>
      <c r="AR67" s="156"/>
      <c r="AS67" s="156"/>
      <c r="AT67" s="156"/>
      <c r="AU67" s="156"/>
      <c r="AV67" s="156"/>
      <c r="AW67" s="156"/>
      <c r="AX67" s="156"/>
      <c r="AY67" s="156"/>
      <c r="AZ67" s="156"/>
      <c r="BA67" s="156"/>
      <c r="BB67" s="156"/>
      <c r="BC67" s="156"/>
      <c r="BD67" s="156"/>
    </row>
    <row r="68" spans="1:56" s="11" customFormat="1" ht="20.100000000000001" customHeight="1" x14ac:dyDescent="0.25">
      <c r="A68" s="157" t="s">
        <v>18</v>
      </c>
      <c r="B68" s="157"/>
      <c r="C68" s="67"/>
      <c r="D68" s="68"/>
      <c r="E68" s="157" t="s">
        <v>19</v>
      </c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68"/>
      <c r="AI68" s="158" t="s">
        <v>69</v>
      </c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</row>
    <row r="69" spans="1:56" s="11" customFormat="1" ht="20.100000000000001" customHeight="1" x14ac:dyDescent="0.25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</row>
    <row r="70" spans="1:56" s="11" customFormat="1" ht="20.100000000000001" customHeight="1" x14ac:dyDescent="0.25">
      <c r="A70" s="156"/>
      <c r="B70" s="156"/>
      <c r="C70" s="156"/>
      <c r="D70" s="156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156"/>
      <c r="AC70" s="156"/>
      <c r="AD70" s="156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  <c r="AR70" s="156"/>
      <c r="AS70" s="156"/>
      <c r="AT70" s="156"/>
      <c r="AU70" s="156"/>
      <c r="AV70" s="156"/>
      <c r="AW70" s="156"/>
      <c r="AX70" s="156"/>
      <c r="AY70" s="156"/>
      <c r="AZ70" s="156"/>
      <c r="BA70" s="156"/>
      <c r="BB70" s="156"/>
      <c r="BC70" s="156"/>
      <c r="BD70" s="156"/>
    </row>
    <row r="71" spans="1:56" s="11" customFormat="1" ht="20.100000000000001" customHeight="1" x14ac:dyDescent="0.25">
      <c r="A71" s="158" t="s">
        <v>70</v>
      </c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</row>
  </sheetData>
  <sheetProtection algorithmName="SHA-512" hashValue="2829qz2pIh2w2Uf27KTmalH7rZ086AVixKyB6jDnDOphVrN5VKLGsn2hC6sp4FIrOeG96/Y+MeJuA9Ns3KNnog==" saltValue="ebZxyAG214zB62vH26a/B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A3:F3"/>
    <mergeCell ref="BD2:BD15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sqref="A1:O47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</row>
    <row r="4" spans="1:14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</row>
    <row r="5" spans="1:14" ht="15.75" x14ac:dyDescent="0.25">
      <c r="A5" s="211" t="s">
        <v>45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</row>
    <row r="6" spans="1:14" ht="15.75" x14ac:dyDescent="0.25">
      <c r="A6" s="5" t="s">
        <v>46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</row>
    <row r="7" spans="1:14" ht="15.75" x14ac:dyDescent="0.25">
      <c r="A7" s="5" t="s">
        <v>47</v>
      </c>
      <c r="B7" s="175"/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/>
    </row>
    <row r="8" spans="1:14" ht="15" customHeight="1" x14ac:dyDescent="0.25">
      <c r="A8" s="6" t="s">
        <v>21</v>
      </c>
      <c r="B8" s="7"/>
      <c r="C8" s="6" t="s">
        <v>22</v>
      </c>
      <c r="D8" s="7"/>
      <c r="E8" s="194" t="s">
        <v>20</v>
      </c>
      <c r="F8" s="194"/>
      <c r="G8" s="194"/>
      <c r="H8" s="195"/>
      <c r="I8" s="196"/>
      <c r="J8" s="196"/>
      <c r="K8" s="196"/>
      <c r="L8" s="196"/>
      <c r="M8" s="196"/>
      <c r="N8" s="197"/>
    </row>
    <row r="9" spans="1:14" ht="15" customHeight="1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</row>
    <row r="10" spans="1:14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</row>
    <row r="11" spans="1:14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</row>
    <row r="12" spans="1:14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</row>
    <row r="13" spans="1:14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</row>
    <row r="14" spans="1:14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</row>
    <row r="15" spans="1:14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</row>
    <row r="16" spans="1:14" s="4" customFormat="1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</row>
    <row r="17" spans="1:15" s="4" customFormat="1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</row>
    <row r="18" spans="1:15" s="4" customFormat="1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</row>
    <row r="19" spans="1:15" x14ac:dyDescent="0.25">
      <c r="A19" s="181"/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</row>
    <row r="20" spans="1:15" ht="8.1" customHeight="1" x14ac:dyDescent="0.25"/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ht="15" customHeight="1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ht="8.1" customHeight="1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ht="8.1" customHeight="1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ht="8.1" customHeight="1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410"/>
  <sheetViews>
    <sheetView tabSelected="1" view="pageBreakPreview" zoomScale="60" zoomScaleNormal="90" workbookViewId="0">
      <selection sqref="A1:N1410"/>
    </sheetView>
  </sheetViews>
  <sheetFormatPr defaultRowHeight="15" x14ac:dyDescent="0.25"/>
  <sheetData>
    <row r="1" spans="1:15" x14ac:dyDescent="0.25">
      <c r="A1" s="209" t="s">
        <v>91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4"/>
    </row>
    <row r="2" spans="1:15" x14ac:dyDescent="0.25">
      <c r="A2" s="209" t="s">
        <v>89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4"/>
    </row>
    <row r="3" spans="1:15" x14ac:dyDescent="0.25">
      <c r="A3" s="209" t="s">
        <v>44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4"/>
    </row>
    <row r="4" spans="1:15" ht="15.75" x14ac:dyDescent="0.25">
      <c r="A4" s="210" t="s">
        <v>72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4"/>
    </row>
    <row r="5" spans="1:15" ht="15.75" x14ac:dyDescent="0.25">
      <c r="A5" s="211" t="s">
        <v>125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4"/>
    </row>
    <row r="6" spans="1:15" ht="15.75" x14ac:dyDescent="0.25">
      <c r="A6" s="5" t="s">
        <v>46</v>
      </c>
      <c r="B6" s="208" t="s">
        <v>123</v>
      </c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4"/>
    </row>
    <row r="7" spans="1:15" ht="15.75" x14ac:dyDescent="0.25">
      <c r="A7" s="5" t="s">
        <v>47</v>
      </c>
      <c r="B7" s="175" t="s">
        <v>93</v>
      </c>
      <c r="C7" s="175"/>
      <c r="D7" s="175"/>
      <c r="E7" s="175"/>
      <c r="F7" s="175"/>
      <c r="G7" s="175"/>
      <c r="H7" s="175"/>
      <c r="I7" s="175"/>
      <c r="J7" s="175"/>
      <c r="K7" s="175"/>
      <c r="L7" s="174" t="s">
        <v>74</v>
      </c>
      <c r="M7" s="174"/>
      <c r="N7" s="34">
        <v>14259.79928408609</v>
      </c>
      <c r="O7" s="4"/>
    </row>
    <row r="8" spans="1:15" x14ac:dyDescent="0.25">
      <c r="A8" s="6" t="s">
        <v>21</v>
      </c>
      <c r="B8" s="7" t="s">
        <v>92</v>
      </c>
      <c r="C8" s="6" t="s">
        <v>22</v>
      </c>
      <c r="D8" s="7">
        <v>2020</v>
      </c>
      <c r="E8" s="194" t="s">
        <v>20</v>
      </c>
      <c r="F8" s="194"/>
      <c r="G8" s="194"/>
      <c r="H8" s="195" t="s">
        <v>124</v>
      </c>
      <c r="I8" s="196"/>
      <c r="J8" s="196"/>
      <c r="K8" s="196"/>
      <c r="L8" s="196"/>
      <c r="M8" s="196"/>
      <c r="N8" s="197"/>
      <c r="O8" s="4"/>
    </row>
    <row r="9" spans="1:15" x14ac:dyDescent="0.25">
      <c r="A9" s="198" t="s">
        <v>48</v>
      </c>
      <c r="B9" s="199"/>
      <c r="C9" s="200"/>
      <c r="D9" s="204" t="s">
        <v>49</v>
      </c>
      <c r="E9" s="205"/>
      <c r="F9" s="205"/>
      <c r="G9" s="205"/>
      <c r="H9" s="206"/>
      <c r="I9" s="207" t="s">
        <v>50</v>
      </c>
      <c r="J9" s="207"/>
      <c r="K9" s="207"/>
      <c r="L9" s="207"/>
      <c r="M9" s="207"/>
      <c r="N9" s="207"/>
      <c r="O9" s="4"/>
    </row>
    <row r="10" spans="1:15" ht="30" x14ac:dyDescent="0.25">
      <c r="A10" s="201"/>
      <c r="B10" s="202"/>
      <c r="C10" s="203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3" t="s">
        <v>51</v>
      </c>
      <c r="J10" s="33" t="s">
        <v>52</v>
      </c>
      <c r="K10" s="33" t="s">
        <v>53</v>
      </c>
      <c r="L10" s="33" t="s">
        <v>54</v>
      </c>
      <c r="M10" s="201" t="s">
        <v>56</v>
      </c>
      <c r="N10" s="203"/>
      <c r="O10" s="4"/>
    </row>
    <row r="11" spans="1:15" x14ac:dyDescent="0.25">
      <c r="A11" s="181" t="s">
        <v>2</v>
      </c>
      <c r="B11" s="182"/>
      <c r="C11" s="183"/>
      <c r="D11" s="9" t="s">
        <v>57</v>
      </c>
      <c r="E11" s="9" t="s">
        <v>57</v>
      </c>
      <c r="F11" s="9" t="s">
        <v>57</v>
      </c>
      <c r="G11" s="9" t="s">
        <v>57</v>
      </c>
      <c r="H11" s="9"/>
      <c r="I11" s="15">
        <v>0</v>
      </c>
      <c r="J11" s="15">
        <v>0</v>
      </c>
      <c r="K11" s="15">
        <v>0</v>
      </c>
      <c r="L11" s="15">
        <v>0</v>
      </c>
      <c r="M11" s="190">
        <f>I11+J11+K11+L11</f>
        <v>0</v>
      </c>
      <c r="N11" s="191"/>
      <c r="O11" s="4"/>
    </row>
    <row r="12" spans="1:15" x14ac:dyDescent="0.25">
      <c r="A12" s="181" t="s">
        <v>3</v>
      </c>
      <c r="B12" s="182"/>
      <c r="C12" s="183"/>
      <c r="D12" s="9" t="s">
        <v>57</v>
      </c>
      <c r="E12" s="9" t="s">
        <v>57</v>
      </c>
      <c r="F12" s="9" t="s">
        <v>57</v>
      </c>
      <c r="G12" s="9" t="s">
        <v>57</v>
      </c>
      <c r="H12" s="9"/>
      <c r="I12" s="15">
        <v>0</v>
      </c>
      <c r="J12" s="15">
        <v>0</v>
      </c>
      <c r="K12" s="15">
        <v>0</v>
      </c>
      <c r="L12" s="15">
        <v>0</v>
      </c>
      <c r="M12" s="192">
        <f t="shared" ref="M12:M19" si="0">I12+J12+K12+L12</f>
        <v>0</v>
      </c>
      <c r="N12" s="193"/>
      <c r="O12" s="4"/>
    </row>
    <row r="13" spans="1:15" x14ac:dyDescent="0.25">
      <c r="A13" s="181" t="s">
        <v>4</v>
      </c>
      <c r="B13" s="182"/>
      <c r="C13" s="183"/>
      <c r="D13" s="9" t="s">
        <v>57</v>
      </c>
      <c r="E13" s="9" t="s">
        <v>57</v>
      </c>
      <c r="F13" s="9" t="s">
        <v>57</v>
      </c>
      <c r="G13" s="9" t="s">
        <v>57</v>
      </c>
      <c r="H13" s="9"/>
      <c r="I13" s="15">
        <v>0</v>
      </c>
      <c r="J13" s="15">
        <v>0</v>
      </c>
      <c r="K13" s="15">
        <v>0</v>
      </c>
      <c r="L13" s="15">
        <v>0</v>
      </c>
      <c r="M13" s="192">
        <f t="shared" si="0"/>
        <v>0</v>
      </c>
      <c r="N13" s="193"/>
      <c r="O13" s="4"/>
    </row>
    <row r="14" spans="1:15" x14ac:dyDescent="0.25">
      <c r="A14" s="181" t="s">
        <v>5</v>
      </c>
      <c r="B14" s="182"/>
      <c r="C14" s="183"/>
      <c r="D14" s="9" t="s">
        <v>57</v>
      </c>
      <c r="E14" s="9" t="s">
        <v>57</v>
      </c>
      <c r="F14" s="9" t="s">
        <v>57</v>
      </c>
      <c r="G14" s="9" t="s">
        <v>57</v>
      </c>
      <c r="H14" s="9"/>
      <c r="I14" s="15">
        <v>0</v>
      </c>
      <c r="J14" s="15">
        <v>0</v>
      </c>
      <c r="K14" s="15">
        <v>0</v>
      </c>
      <c r="L14" s="15">
        <v>0</v>
      </c>
      <c r="M14" s="192">
        <f t="shared" si="0"/>
        <v>0</v>
      </c>
      <c r="N14" s="193"/>
      <c r="O14" s="4"/>
    </row>
    <row r="15" spans="1:15" x14ac:dyDescent="0.25">
      <c r="A15" s="181" t="s">
        <v>6</v>
      </c>
      <c r="B15" s="182"/>
      <c r="C15" s="183"/>
      <c r="D15" s="9" t="s">
        <v>57</v>
      </c>
      <c r="E15" s="9" t="s">
        <v>57</v>
      </c>
      <c r="F15" s="9" t="s">
        <v>57</v>
      </c>
      <c r="G15" s="9" t="s">
        <v>57</v>
      </c>
      <c r="H15" s="9"/>
      <c r="I15" s="15">
        <v>0</v>
      </c>
      <c r="J15" s="15">
        <v>0</v>
      </c>
      <c r="K15" s="15">
        <v>0</v>
      </c>
      <c r="L15" s="15">
        <v>0</v>
      </c>
      <c r="M15" s="192">
        <f t="shared" si="0"/>
        <v>0</v>
      </c>
      <c r="N15" s="193"/>
      <c r="O15" s="4"/>
    </row>
    <row r="16" spans="1:15" x14ac:dyDescent="0.25">
      <c r="A16" s="181" t="s">
        <v>8</v>
      </c>
      <c r="B16" s="182"/>
      <c r="C16" s="183"/>
      <c r="D16" s="9" t="s">
        <v>57</v>
      </c>
      <c r="E16" s="9" t="s">
        <v>57</v>
      </c>
      <c r="F16" s="9" t="s">
        <v>57</v>
      </c>
      <c r="G16" s="9" t="s">
        <v>57</v>
      </c>
      <c r="H16" s="9"/>
      <c r="I16" s="15">
        <v>0</v>
      </c>
      <c r="J16" s="15">
        <v>0</v>
      </c>
      <c r="K16" s="15">
        <v>0</v>
      </c>
      <c r="L16" s="15">
        <v>0</v>
      </c>
      <c r="M16" s="192">
        <f t="shared" si="0"/>
        <v>0</v>
      </c>
      <c r="N16" s="193"/>
      <c r="O16" s="4"/>
    </row>
    <row r="17" spans="1:15" x14ac:dyDescent="0.25">
      <c r="A17" s="181" t="s">
        <v>38</v>
      </c>
      <c r="B17" s="182"/>
      <c r="C17" s="183"/>
      <c r="D17" s="9" t="s">
        <v>57</v>
      </c>
      <c r="E17" s="9" t="s">
        <v>57</v>
      </c>
      <c r="F17" s="9" t="s">
        <v>57</v>
      </c>
      <c r="G17" s="9" t="s">
        <v>57</v>
      </c>
      <c r="H17" s="9"/>
      <c r="I17" s="15">
        <v>0</v>
      </c>
      <c r="J17" s="15">
        <v>0</v>
      </c>
      <c r="K17" s="15">
        <v>0</v>
      </c>
      <c r="L17" s="15">
        <v>0</v>
      </c>
      <c r="M17" s="192">
        <f t="shared" si="0"/>
        <v>0</v>
      </c>
      <c r="N17" s="193"/>
      <c r="O17" s="4"/>
    </row>
    <row r="18" spans="1:15" x14ac:dyDescent="0.25">
      <c r="A18" s="181" t="s">
        <v>7</v>
      </c>
      <c r="B18" s="182"/>
      <c r="C18" s="183"/>
      <c r="D18" s="9" t="s">
        <v>57</v>
      </c>
      <c r="E18" s="9" t="s">
        <v>57</v>
      </c>
      <c r="F18" s="9" t="s">
        <v>57</v>
      </c>
      <c r="G18" s="9" t="s">
        <v>57</v>
      </c>
      <c r="H18" s="9"/>
      <c r="I18" s="15">
        <v>0</v>
      </c>
      <c r="J18" s="15">
        <v>0</v>
      </c>
      <c r="K18" s="15">
        <v>0</v>
      </c>
      <c r="L18" s="15">
        <v>0</v>
      </c>
      <c r="M18" s="192">
        <f t="shared" si="0"/>
        <v>0</v>
      </c>
      <c r="N18" s="193"/>
      <c r="O18" s="4"/>
    </row>
    <row r="19" spans="1:15" x14ac:dyDescent="0.25">
      <c r="A19" s="181" t="s">
        <v>90</v>
      </c>
      <c r="B19" s="182"/>
      <c r="C19" s="183"/>
      <c r="D19" s="9" t="s">
        <v>57</v>
      </c>
      <c r="E19" s="9" t="s">
        <v>57</v>
      </c>
      <c r="F19" s="9" t="s">
        <v>57</v>
      </c>
      <c r="G19" s="9" t="s">
        <v>57</v>
      </c>
      <c r="H19" s="9"/>
      <c r="I19" s="15">
        <v>0</v>
      </c>
      <c r="J19" s="15">
        <v>0</v>
      </c>
      <c r="K19" s="15">
        <v>0</v>
      </c>
      <c r="L19" s="15">
        <v>0</v>
      </c>
      <c r="M19" s="188">
        <f t="shared" si="0"/>
        <v>0</v>
      </c>
      <c r="N19" s="189"/>
      <c r="O19" s="4"/>
    </row>
    <row r="20" spans="1:15" x14ac:dyDescent="0.25">
      <c r="O20" s="4"/>
    </row>
    <row r="21" spans="1:15" ht="15.75" x14ac:dyDescent="0.25">
      <c r="A21" s="177" t="s">
        <v>58</v>
      </c>
      <c r="B21" s="177"/>
      <c r="C21" s="177"/>
      <c r="D21" s="177"/>
      <c r="E21" s="177"/>
      <c r="F21" s="177"/>
      <c r="G21" s="177"/>
      <c r="H21" s="177"/>
      <c r="I21" s="177"/>
      <c r="J21" s="177"/>
      <c r="K21" s="177"/>
      <c r="L21" s="177"/>
      <c r="M21" s="177"/>
      <c r="N21" s="177"/>
      <c r="O21" s="4"/>
    </row>
    <row r="22" spans="1:15" x14ac:dyDescent="0.25">
      <c r="A22" s="178"/>
      <c r="B22" s="179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0"/>
      <c r="O22" s="10">
        <f>A22</f>
        <v>0</v>
      </c>
    </row>
    <row r="23" spans="1:15" x14ac:dyDescent="0.25">
      <c r="A23" s="174" t="s">
        <v>59</v>
      </c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0"/>
    </row>
    <row r="24" spans="1:15" x14ac:dyDescent="0.25">
      <c r="A24" s="178"/>
      <c r="B24" s="179"/>
      <c r="C24" s="179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80"/>
      <c r="O24" s="10">
        <f t="shared" ref="O24:O45" si="1">A24</f>
        <v>0</v>
      </c>
    </row>
    <row r="25" spans="1:15" x14ac:dyDescent="0.25">
      <c r="A25" s="176" t="s">
        <v>60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 t="s">
        <v>61</v>
      </c>
      <c r="N25" s="176"/>
      <c r="O25" s="10"/>
    </row>
    <row r="26" spans="1:15" x14ac:dyDescent="0.25">
      <c r="A26" s="176" t="s">
        <v>62</v>
      </c>
      <c r="B26" s="176"/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 t="s">
        <v>61</v>
      </c>
      <c r="N26" s="176"/>
      <c r="O26" s="10"/>
    </row>
    <row r="27" spans="1:15" x14ac:dyDescent="0.25">
      <c r="O27" s="10"/>
    </row>
    <row r="28" spans="1:15" ht="15.75" x14ac:dyDescent="0.25">
      <c r="A28" s="184" t="s">
        <v>63</v>
      </c>
      <c r="B28" s="185"/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6"/>
      <c r="O28" s="10"/>
    </row>
    <row r="29" spans="1:15" x14ac:dyDescent="0.25">
      <c r="A29" s="178"/>
      <c r="B29" s="179"/>
      <c r="C29" s="179"/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0">
        <f t="shared" si="1"/>
        <v>0</v>
      </c>
    </row>
    <row r="30" spans="1:15" x14ac:dyDescent="0.25">
      <c r="A30" s="174" t="s">
        <v>64</v>
      </c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0"/>
    </row>
    <row r="31" spans="1:15" x14ac:dyDescent="0.25">
      <c r="A31" s="178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80"/>
      <c r="O31" s="10">
        <f t="shared" si="1"/>
        <v>0</v>
      </c>
    </row>
    <row r="32" spans="1:15" x14ac:dyDescent="0.25">
      <c r="A32" s="176" t="s">
        <v>60</v>
      </c>
      <c r="B32" s="176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 t="s">
        <v>61</v>
      </c>
      <c r="N32" s="176"/>
      <c r="O32" s="10"/>
    </row>
    <row r="33" spans="1:15" x14ac:dyDescent="0.25">
      <c r="A33" s="176" t="s">
        <v>62</v>
      </c>
      <c r="B33" s="176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 t="s">
        <v>61</v>
      </c>
      <c r="N33" s="176"/>
      <c r="O33" s="10"/>
    </row>
    <row r="34" spans="1:15" x14ac:dyDescent="0.25">
      <c r="O34" s="10"/>
    </row>
    <row r="35" spans="1:15" ht="15.75" x14ac:dyDescent="0.25">
      <c r="A35" s="177" t="s">
        <v>65</v>
      </c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0"/>
    </row>
    <row r="36" spans="1:15" x14ac:dyDescent="0.25">
      <c r="A36" s="178"/>
      <c r="B36" s="179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80"/>
      <c r="O36" s="10">
        <f t="shared" si="1"/>
        <v>0</v>
      </c>
    </row>
    <row r="37" spans="1:15" x14ac:dyDescent="0.25">
      <c r="A37" s="174" t="s">
        <v>66</v>
      </c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0"/>
    </row>
    <row r="38" spans="1:15" x14ac:dyDescent="0.25">
      <c r="A38" s="178"/>
      <c r="B38" s="179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80"/>
      <c r="O38" s="10">
        <f t="shared" si="1"/>
        <v>0</v>
      </c>
    </row>
    <row r="39" spans="1:15" x14ac:dyDescent="0.25">
      <c r="A39" s="187" t="s">
        <v>60</v>
      </c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76" t="s">
        <v>61</v>
      </c>
      <c r="N39" s="176"/>
      <c r="O39" s="10"/>
    </row>
    <row r="40" spans="1:15" x14ac:dyDescent="0.25">
      <c r="A40" s="187" t="s">
        <v>62</v>
      </c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76" t="s">
        <v>61</v>
      </c>
      <c r="N40" s="176"/>
      <c r="O40" s="10"/>
    </row>
    <row r="41" spans="1:15" x14ac:dyDescent="0.25">
      <c r="O41" s="10"/>
    </row>
    <row r="42" spans="1:15" ht="15.75" x14ac:dyDescent="0.25">
      <c r="A42" s="184" t="s">
        <v>67</v>
      </c>
      <c r="B42" s="185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6"/>
      <c r="O42" s="10"/>
    </row>
    <row r="43" spans="1:15" x14ac:dyDescent="0.25">
      <c r="A43" s="178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80"/>
      <c r="O43" s="10">
        <f t="shared" si="1"/>
        <v>0</v>
      </c>
    </row>
    <row r="44" spans="1:15" x14ac:dyDescent="0.25">
      <c r="A44" s="174" t="s">
        <v>68</v>
      </c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0"/>
    </row>
    <row r="45" spans="1:15" x14ac:dyDescent="0.25">
      <c r="A45" s="178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80"/>
      <c r="O45" s="10">
        <f t="shared" si="1"/>
        <v>0</v>
      </c>
    </row>
    <row r="46" spans="1:15" x14ac:dyDescent="0.25">
      <c r="A46" s="176" t="s">
        <v>60</v>
      </c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 t="s">
        <v>61</v>
      </c>
      <c r="N46" s="176"/>
      <c r="O46" s="10"/>
    </row>
    <row r="47" spans="1:15" x14ac:dyDescent="0.25">
      <c r="A47" s="176" t="s">
        <v>62</v>
      </c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 t="s">
        <v>61</v>
      </c>
      <c r="N47" s="176"/>
      <c r="O47" s="10"/>
    </row>
    <row r="48" spans="1:15" x14ac:dyDescent="0.25">
      <c r="A48" s="209" t="s">
        <v>91</v>
      </c>
      <c r="B48" s="209"/>
      <c r="C48" s="209"/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4"/>
    </row>
    <row r="49" spans="1:15" x14ac:dyDescent="0.25">
      <c r="A49" s="209" t="s">
        <v>89</v>
      </c>
      <c r="B49" s="209"/>
      <c r="C49" s="209"/>
      <c r="D49" s="209"/>
      <c r="E49" s="209"/>
      <c r="F49" s="209"/>
      <c r="G49" s="209"/>
      <c r="H49" s="209"/>
      <c r="I49" s="209"/>
      <c r="J49" s="209"/>
      <c r="K49" s="209"/>
      <c r="L49" s="209"/>
      <c r="M49" s="209"/>
      <c r="N49" s="209"/>
      <c r="O49" s="4"/>
    </row>
    <row r="50" spans="1:15" x14ac:dyDescent="0.25">
      <c r="A50" s="209" t="s">
        <v>44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4"/>
    </row>
    <row r="51" spans="1:15" ht="15.75" x14ac:dyDescent="0.25">
      <c r="A51" s="210" t="s">
        <v>72</v>
      </c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0"/>
      <c r="M51" s="210"/>
      <c r="N51" s="210"/>
      <c r="O51" s="4"/>
    </row>
    <row r="52" spans="1:15" ht="15.75" x14ac:dyDescent="0.25">
      <c r="A52" s="211" t="s">
        <v>125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4"/>
    </row>
    <row r="53" spans="1:15" ht="15.75" x14ac:dyDescent="0.25">
      <c r="A53" s="5" t="s">
        <v>46</v>
      </c>
      <c r="B53" s="208" t="s">
        <v>123</v>
      </c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4"/>
    </row>
    <row r="54" spans="1:15" ht="15.75" x14ac:dyDescent="0.25">
      <c r="A54" s="5" t="s">
        <v>47</v>
      </c>
      <c r="B54" s="175" t="s">
        <v>94</v>
      </c>
      <c r="C54" s="175"/>
      <c r="D54" s="175"/>
      <c r="E54" s="175"/>
      <c r="F54" s="175"/>
      <c r="G54" s="175"/>
      <c r="H54" s="175"/>
      <c r="I54" s="175"/>
      <c r="J54" s="175"/>
      <c r="K54" s="175"/>
      <c r="L54" s="174" t="s">
        <v>74</v>
      </c>
      <c r="M54" s="174"/>
      <c r="N54" s="34">
        <v>39756.703310018871</v>
      </c>
      <c r="O54" s="4"/>
    </row>
    <row r="55" spans="1:15" x14ac:dyDescent="0.25">
      <c r="A55" s="6" t="s">
        <v>21</v>
      </c>
      <c r="B55" s="7" t="s">
        <v>92</v>
      </c>
      <c r="C55" s="6" t="s">
        <v>22</v>
      </c>
      <c r="D55" s="7">
        <v>2020</v>
      </c>
      <c r="E55" s="194" t="s">
        <v>20</v>
      </c>
      <c r="F55" s="194"/>
      <c r="G55" s="194"/>
      <c r="H55" s="195" t="s">
        <v>124</v>
      </c>
      <c r="I55" s="196"/>
      <c r="J55" s="196"/>
      <c r="K55" s="196"/>
      <c r="L55" s="196"/>
      <c r="M55" s="196"/>
      <c r="N55" s="197"/>
      <c r="O55" s="4"/>
    </row>
    <row r="56" spans="1:15" x14ac:dyDescent="0.25">
      <c r="A56" s="198" t="s">
        <v>48</v>
      </c>
      <c r="B56" s="199"/>
      <c r="C56" s="200"/>
      <c r="D56" s="204" t="s">
        <v>49</v>
      </c>
      <c r="E56" s="205"/>
      <c r="F56" s="205"/>
      <c r="G56" s="205"/>
      <c r="H56" s="206"/>
      <c r="I56" s="207" t="s">
        <v>50</v>
      </c>
      <c r="J56" s="207"/>
      <c r="K56" s="207"/>
      <c r="L56" s="207"/>
      <c r="M56" s="207"/>
      <c r="N56" s="207"/>
      <c r="O56" s="4"/>
    </row>
    <row r="57" spans="1:15" ht="30" x14ac:dyDescent="0.25">
      <c r="A57" s="201"/>
      <c r="B57" s="202"/>
      <c r="C57" s="203"/>
      <c r="D57" s="8" t="s">
        <v>51</v>
      </c>
      <c r="E57" s="8" t="s">
        <v>52</v>
      </c>
      <c r="F57" s="8" t="s">
        <v>53</v>
      </c>
      <c r="G57" s="8" t="s">
        <v>54</v>
      </c>
      <c r="H57" s="8" t="s">
        <v>55</v>
      </c>
      <c r="I57" s="33" t="s">
        <v>51</v>
      </c>
      <c r="J57" s="33" t="s">
        <v>52</v>
      </c>
      <c r="K57" s="33" t="s">
        <v>53</v>
      </c>
      <c r="L57" s="33" t="s">
        <v>54</v>
      </c>
      <c r="M57" s="201" t="s">
        <v>56</v>
      </c>
      <c r="N57" s="203"/>
      <c r="O57" s="4"/>
    </row>
    <row r="58" spans="1:15" x14ac:dyDescent="0.25">
      <c r="A58" s="181" t="s">
        <v>2</v>
      </c>
      <c r="B58" s="182"/>
      <c r="C58" s="183"/>
      <c r="D58" s="9" t="s">
        <v>57</v>
      </c>
      <c r="E58" s="9" t="s">
        <v>57</v>
      </c>
      <c r="F58" s="9" t="s">
        <v>57</v>
      </c>
      <c r="G58" s="9" t="s">
        <v>57</v>
      </c>
      <c r="H58" s="9"/>
      <c r="I58" s="15">
        <v>0</v>
      </c>
      <c r="J58" s="15">
        <v>0</v>
      </c>
      <c r="K58" s="15">
        <v>0</v>
      </c>
      <c r="L58" s="15">
        <v>0</v>
      </c>
      <c r="M58" s="190">
        <f>I58+J58+K58+L58</f>
        <v>0</v>
      </c>
      <c r="N58" s="191"/>
      <c r="O58" s="4"/>
    </row>
    <row r="59" spans="1:15" x14ac:dyDescent="0.25">
      <c r="A59" s="181" t="s">
        <v>3</v>
      </c>
      <c r="B59" s="182"/>
      <c r="C59" s="183"/>
      <c r="D59" s="9" t="s">
        <v>57</v>
      </c>
      <c r="E59" s="9" t="s">
        <v>57</v>
      </c>
      <c r="F59" s="9" t="s">
        <v>57</v>
      </c>
      <c r="G59" s="9" t="s">
        <v>57</v>
      </c>
      <c r="H59" s="9"/>
      <c r="I59" s="15">
        <v>0</v>
      </c>
      <c r="J59" s="15">
        <v>0</v>
      </c>
      <c r="K59" s="15">
        <v>0</v>
      </c>
      <c r="L59" s="15">
        <v>0</v>
      </c>
      <c r="M59" s="192">
        <f t="shared" ref="M59:M66" si="2">I59+J59+K59+L59</f>
        <v>0</v>
      </c>
      <c r="N59" s="193"/>
      <c r="O59" s="4"/>
    </row>
    <row r="60" spans="1:15" x14ac:dyDescent="0.25">
      <c r="A60" s="181" t="s">
        <v>4</v>
      </c>
      <c r="B60" s="182"/>
      <c r="C60" s="183"/>
      <c r="D60" s="9" t="s">
        <v>57</v>
      </c>
      <c r="E60" s="9" t="s">
        <v>57</v>
      </c>
      <c r="F60" s="9" t="s">
        <v>57</v>
      </c>
      <c r="G60" s="9" t="s">
        <v>57</v>
      </c>
      <c r="H60" s="9"/>
      <c r="I60" s="15">
        <v>0</v>
      </c>
      <c r="J60" s="15">
        <v>0</v>
      </c>
      <c r="K60" s="15">
        <v>0</v>
      </c>
      <c r="L60" s="15">
        <v>0</v>
      </c>
      <c r="M60" s="192">
        <f t="shared" si="2"/>
        <v>0</v>
      </c>
      <c r="N60" s="193"/>
      <c r="O60" s="4"/>
    </row>
    <row r="61" spans="1:15" x14ac:dyDescent="0.25">
      <c r="A61" s="181" t="s">
        <v>5</v>
      </c>
      <c r="B61" s="182"/>
      <c r="C61" s="183"/>
      <c r="D61" s="9" t="s">
        <v>57</v>
      </c>
      <c r="E61" s="9" t="s">
        <v>57</v>
      </c>
      <c r="F61" s="9" t="s">
        <v>57</v>
      </c>
      <c r="G61" s="9" t="s">
        <v>57</v>
      </c>
      <c r="H61" s="9"/>
      <c r="I61" s="15">
        <v>0</v>
      </c>
      <c r="J61" s="15">
        <v>0</v>
      </c>
      <c r="K61" s="15">
        <v>0</v>
      </c>
      <c r="L61" s="15">
        <v>0</v>
      </c>
      <c r="M61" s="192">
        <f t="shared" si="2"/>
        <v>0</v>
      </c>
      <c r="N61" s="193"/>
      <c r="O61" s="4"/>
    </row>
    <row r="62" spans="1:15" x14ac:dyDescent="0.25">
      <c r="A62" s="181" t="s">
        <v>6</v>
      </c>
      <c r="B62" s="182"/>
      <c r="C62" s="183"/>
      <c r="D62" s="9" t="s">
        <v>57</v>
      </c>
      <c r="E62" s="9" t="s">
        <v>57</v>
      </c>
      <c r="F62" s="9" t="s">
        <v>57</v>
      </c>
      <c r="G62" s="9" t="s">
        <v>57</v>
      </c>
      <c r="H62" s="9"/>
      <c r="I62" s="15">
        <v>0</v>
      </c>
      <c r="J62" s="15">
        <v>0</v>
      </c>
      <c r="K62" s="15">
        <v>0</v>
      </c>
      <c r="L62" s="15">
        <v>0</v>
      </c>
      <c r="M62" s="192">
        <f t="shared" si="2"/>
        <v>0</v>
      </c>
      <c r="N62" s="193"/>
      <c r="O62" s="4"/>
    </row>
    <row r="63" spans="1:15" x14ac:dyDescent="0.25">
      <c r="A63" s="181" t="s">
        <v>8</v>
      </c>
      <c r="B63" s="182"/>
      <c r="C63" s="183"/>
      <c r="D63" s="9" t="s">
        <v>57</v>
      </c>
      <c r="E63" s="9" t="s">
        <v>57</v>
      </c>
      <c r="F63" s="9" t="s">
        <v>57</v>
      </c>
      <c r="G63" s="9" t="s">
        <v>57</v>
      </c>
      <c r="H63" s="9"/>
      <c r="I63" s="15">
        <v>0</v>
      </c>
      <c r="J63" s="15">
        <v>0</v>
      </c>
      <c r="K63" s="15">
        <v>0</v>
      </c>
      <c r="L63" s="15">
        <v>0</v>
      </c>
      <c r="M63" s="192">
        <f t="shared" si="2"/>
        <v>0</v>
      </c>
      <c r="N63" s="193"/>
      <c r="O63" s="4"/>
    </row>
    <row r="64" spans="1:15" x14ac:dyDescent="0.25">
      <c r="A64" s="181" t="s">
        <v>38</v>
      </c>
      <c r="B64" s="182"/>
      <c r="C64" s="183"/>
      <c r="D64" s="9" t="s">
        <v>57</v>
      </c>
      <c r="E64" s="9" t="s">
        <v>57</v>
      </c>
      <c r="F64" s="9" t="s">
        <v>57</v>
      </c>
      <c r="G64" s="9" t="s">
        <v>57</v>
      </c>
      <c r="H64" s="9"/>
      <c r="I64" s="15">
        <v>0</v>
      </c>
      <c r="J64" s="15">
        <v>0</v>
      </c>
      <c r="K64" s="15">
        <v>0</v>
      </c>
      <c r="L64" s="15">
        <v>0</v>
      </c>
      <c r="M64" s="192">
        <f t="shared" si="2"/>
        <v>0</v>
      </c>
      <c r="N64" s="193"/>
      <c r="O64" s="4"/>
    </row>
    <row r="65" spans="1:15" x14ac:dyDescent="0.25">
      <c r="A65" s="181" t="s">
        <v>7</v>
      </c>
      <c r="B65" s="182"/>
      <c r="C65" s="183"/>
      <c r="D65" s="9" t="s">
        <v>57</v>
      </c>
      <c r="E65" s="9" t="s">
        <v>57</v>
      </c>
      <c r="F65" s="9" t="s">
        <v>57</v>
      </c>
      <c r="G65" s="9" t="s">
        <v>57</v>
      </c>
      <c r="H65" s="9"/>
      <c r="I65" s="15">
        <v>0</v>
      </c>
      <c r="J65" s="15">
        <v>0</v>
      </c>
      <c r="K65" s="15">
        <v>0</v>
      </c>
      <c r="L65" s="15">
        <v>0</v>
      </c>
      <c r="M65" s="192">
        <f t="shared" si="2"/>
        <v>0</v>
      </c>
      <c r="N65" s="193"/>
      <c r="O65" s="4"/>
    </row>
    <row r="66" spans="1:15" x14ac:dyDescent="0.25">
      <c r="A66" s="181" t="s">
        <v>90</v>
      </c>
      <c r="B66" s="182"/>
      <c r="C66" s="183"/>
      <c r="D66" s="9" t="s">
        <v>57</v>
      </c>
      <c r="E66" s="9" t="s">
        <v>57</v>
      </c>
      <c r="F66" s="9" t="s">
        <v>57</v>
      </c>
      <c r="G66" s="9" t="s">
        <v>57</v>
      </c>
      <c r="H66" s="9"/>
      <c r="I66" s="15">
        <v>0</v>
      </c>
      <c r="J66" s="15">
        <v>0</v>
      </c>
      <c r="K66" s="15">
        <v>0</v>
      </c>
      <c r="L66" s="15">
        <v>0</v>
      </c>
      <c r="M66" s="188">
        <f t="shared" si="2"/>
        <v>0</v>
      </c>
      <c r="N66" s="189"/>
      <c r="O66" s="4"/>
    </row>
    <row r="67" spans="1:15" x14ac:dyDescent="0.25">
      <c r="O67" s="4"/>
    </row>
    <row r="68" spans="1:15" ht="15.75" x14ac:dyDescent="0.25">
      <c r="A68" s="177" t="s">
        <v>58</v>
      </c>
      <c r="B68" s="177"/>
      <c r="C68" s="177"/>
      <c r="D68" s="177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4"/>
    </row>
    <row r="69" spans="1:15" x14ac:dyDescent="0.25">
      <c r="A69" s="178"/>
      <c r="B69" s="179"/>
      <c r="C69" s="179"/>
      <c r="D69" s="179"/>
      <c r="E69" s="179"/>
      <c r="F69" s="179"/>
      <c r="G69" s="179"/>
      <c r="H69" s="179"/>
      <c r="I69" s="179"/>
      <c r="J69" s="179"/>
      <c r="K69" s="179"/>
      <c r="L69" s="179"/>
      <c r="M69" s="179"/>
      <c r="N69" s="180"/>
      <c r="O69" s="10">
        <f>A69</f>
        <v>0</v>
      </c>
    </row>
    <row r="70" spans="1:15" x14ac:dyDescent="0.25">
      <c r="A70" s="174" t="s">
        <v>59</v>
      </c>
      <c r="B70" s="174"/>
      <c r="C70" s="174"/>
      <c r="D70" s="174"/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0"/>
    </row>
    <row r="71" spans="1:15" x14ac:dyDescent="0.25">
      <c r="A71" s="178"/>
      <c r="B71" s="179"/>
      <c r="C71" s="179"/>
      <c r="D71" s="179"/>
      <c r="E71" s="179"/>
      <c r="F71" s="179"/>
      <c r="G71" s="179"/>
      <c r="H71" s="179"/>
      <c r="I71" s="179"/>
      <c r="J71" s="179"/>
      <c r="K71" s="179"/>
      <c r="L71" s="179"/>
      <c r="M71" s="179"/>
      <c r="N71" s="180"/>
      <c r="O71" s="10">
        <f t="shared" ref="O71:O92" si="3">A71</f>
        <v>0</v>
      </c>
    </row>
    <row r="72" spans="1:15" x14ac:dyDescent="0.25">
      <c r="A72" s="176" t="s">
        <v>60</v>
      </c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 t="s">
        <v>61</v>
      </c>
      <c r="N72" s="176"/>
      <c r="O72" s="10"/>
    </row>
    <row r="73" spans="1:15" x14ac:dyDescent="0.25">
      <c r="A73" s="176" t="s">
        <v>62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 t="s">
        <v>61</v>
      </c>
      <c r="N73" s="176"/>
      <c r="O73" s="10"/>
    </row>
    <row r="74" spans="1:15" x14ac:dyDescent="0.25">
      <c r="O74" s="10"/>
    </row>
    <row r="75" spans="1:15" ht="15.75" x14ac:dyDescent="0.25">
      <c r="A75" s="184" t="s">
        <v>63</v>
      </c>
      <c r="B75" s="185"/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6"/>
      <c r="O75" s="10"/>
    </row>
    <row r="76" spans="1:15" x14ac:dyDescent="0.25">
      <c r="A76" s="178"/>
      <c r="B76" s="179"/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0">
        <f t="shared" si="3"/>
        <v>0</v>
      </c>
    </row>
    <row r="77" spans="1:15" x14ac:dyDescent="0.25">
      <c r="A77" s="174" t="s">
        <v>64</v>
      </c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0"/>
    </row>
    <row r="78" spans="1:15" x14ac:dyDescent="0.25">
      <c r="A78" s="178"/>
      <c r="B78" s="179"/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80"/>
      <c r="O78" s="10">
        <f t="shared" si="3"/>
        <v>0</v>
      </c>
    </row>
    <row r="79" spans="1:15" x14ac:dyDescent="0.25">
      <c r="A79" s="176" t="s">
        <v>60</v>
      </c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 t="s">
        <v>61</v>
      </c>
      <c r="N79" s="176"/>
      <c r="O79" s="10"/>
    </row>
    <row r="80" spans="1:15" x14ac:dyDescent="0.25">
      <c r="A80" s="176" t="s">
        <v>62</v>
      </c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 t="s">
        <v>61</v>
      </c>
      <c r="N80" s="176"/>
      <c r="O80" s="10"/>
    </row>
    <row r="81" spans="1:15" x14ac:dyDescent="0.25">
      <c r="O81" s="10"/>
    </row>
    <row r="82" spans="1:15" ht="15.75" x14ac:dyDescent="0.25">
      <c r="A82" s="177" t="s">
        <v>65</v>
      </c>
      <c r="B82" s="177"/>
      <c r="C82" s="177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0"/>
    </row>
    <row r="83" spans="1:15" x14ac:dyDescent="0.25">
      <c r="A83" s="178"/>
      <c r="B83" s="179"/>
      <c r="C83" s="179"/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80"/>
      <c r="O83" s="10">
        <f t="shared" si="3"/>
        <v>0</v>
      </c>
    </row>
    <row r="84" spans="1:15" x14ac:dyDescent="0.25">
      <c r="A84" s="174" t="s">
        <v>66</v>
      </c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0"/>
    </row>
    <row r="85" spans="1:15" x14ac:dyDescent="0.25">
      <c r="A85" s="178"/>
      <c r="B85" s="179"/>
      <c r="C85" s="179"/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80"/>
      <c r="O85" s="10">
        <f t="shared" si="3"/>
        <v>0</v>
      </c>
    </row>
    <row r="86" spans="1:15" x14ac:dyDescent="0.25">
      <c r="A86" s="187" t="s">
        <v>60</v>
      </c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76" t="s">
        <v>61</v>
      </c>
      <c r="N86" s="176"/>
      <c r="O86" s="10"/>
    </row>
    <row r="87" spans="1:15" x14ac:dyDescent="0.25">
      <c r="A87" s="187" t="s">
        <v>62</v>
      </c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76" t="s">
        <v>61</v>
      </c>
      <c r="N87" s="176"/>
      <c r="O87" s="10"/>
    </row>
    <row r="88" spans="1:15" x14ac:dyDescent="0.25">
      <c r="O88" s="10"/>
    </row>
    <row r="89" spans="1:15" ht="15.75" x14ac:dyDescent="0.25">
      <c r="A89" s="184" t="s">
        <v>67</v>
      </c>
      <c r="B89" s="185"/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6"/>
      <c r="O89" s="10"/>
    </row>
    <row r="90" spans="1:15" x14ac:dyDescent="0.25">
      <c r="A90" s="178"/>
      <c r="B90" s="179"/>
      <c r="C90" s="179"/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80"/>
      <c r="O90" s="10">
        <f t="shared" si="3"/>
        <v>0</v>
      </c>
    </row>
    <row r="91" spans="1:15" x14ac:dyDescent="0.25">
      <c r="A91" s="174" t="s">
        <v>68</v>
      </c>
      <c r="B91" s="174"/>
      <c r="C91" s="174"/>
      <c r="D91" s="174"/>
      <c r="E91" s="174"/>
      <c r="F91" s="174"/>
      <c r="G91" s="174"/>
      <c r="H91" s="174"/>
      <c r="I91" s="174"/>
      <c r="J91" s="174"/>
      <c r="K91" s="174"/>
      <c r="L91" s="174"/>
      <c r="M91" s="174"/>
      <c r="N91" s="174"/>
      <c r="O91" s="10"/>
    </row>
    <row r="92" spans="1:15" x14ac:dyDescent="0.25">
      <c r="A92" s="178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80"/>
      <c r="O92" s="10">
        <f t="shared" si="3"/>
        <v>0</v>
      </c>
    </row>
    <row r="93" spans="1:15" x14ac:dyDescent="0.25">
      <c r="A93" s="176" t="s">
        <v>60</v>
      </c>
      <c r="B93" s="176"/>
      <c r="C93" s="176"/>
      <c r="D93" s="176"/>
      <c r="E93" s="176"/>
      <c r="F93" s="176"/>
      <c r="G93" s="176"/>
      <c r="H93" s="176"/>
      <c r="I93" s="176"/>
      <c r="J93" s="176"/>
      <c r="K93" s="176"/>
      <c r="L93" s="176"/>
      <c r="M93" s="176" t="s">
        <v>61</v>
      </c>
      <c r="N93" s="176"/>
      <c r="O93" s="10"/>
    </row>
    <row r="94" spans="1:15" x14ac:dyDescent="0.25">
      <c r="A94" s="176" t="s">
        <v>62</v>
      </c>
      <c r="B94" s="176"/>
      <c r="C94" s="176"/>
      <c r="D94" s="176"/>
      <c r="E94" s="176"/>
      <c r="F94" s="176"/>
      <c r="G94" s="176"/>
      <c r="H94" s="176"/>
      <c r="I94" s="176"/>
      <c r="J94" s="176"/>
      <c r="K94" s="176"/>
      <c r="L94" s="176"/>
      <c r="M94" s="176" t="s">
        <v>61</v>
      </c>
      <c r="N94" s="176"/>
      <c r="O94" s="10"/>
    </row>
    <row r="95" spans="1:15" x14ac:dyDescent="0.25">
      <c r="A95" s="209" t="s">
        <v>91</v>
      </c>
      <c r="B95" s="209"/>
      <c r="C95" s="209"/>
      <c r="D95" s="209"/>
      <c r="E95" s="209"/>
      <c r="F95" s="209"/>
      <c r="G95" s="209"/>
      <c r="H95" s="209"/>
      <c r="I95" s="209"/>
      <c r="J95" s="209"/>
      <c r="K95" s="209"/>
      <c r="L95" s="209"/>
      <c r="M95" s="209"/>
      <c r="N95" s="209"/>
      <c r="O95" s="4"/>
    </row>
    <row r="96" spans="1:15" x14ac:dyDescent="0.25">
      <c r="A96" s="209" t="s">
        <v>89</v>
      </c>
      <c r="B96" s="209"/>
      <c r="C96" s="209"/>
      <c r="D96" s="209"/>
      <c r="E96" s="209"/>
      <c r="F96" s="209"/>
      <c r="G96" s="209"/>
      <c r="H96" s="209"/>
      <c r="I96" s="209"/>
      <c r="J96" s="209"/>
      <c r="K96" s="209"/>
      <c r="L96" s="209"/>
      <c r="M96" s="209"/>
      <c r="N96" s="209"/>
      <c r="O96" s="4"/>
    </row>
    <row r="97" spans="1:15" x14ac:dyDescent="0.25">
      <c r="A97" s="209" t="s">
        <v>44</v>
      </c>
      <c r="B97" s="209"/>
      <c r="C97" s="209"/>
      <c r="D97" s="209"/>
      <c r="E97" s="209"/>
      <c r="F97" s="209"/>
      <c r="G97" s="209"/>
      <c r="H97" s="209"/>
      <c r="I97" s="209"/>
      <c r="J97" s="209"/>
      <c r="K97" s="209"/>
      <c r="L97" s="209"/>
      <c r="M97" s="209"/>
      <c r="N97" s="209"/>
      <c r="O97" s="4"/>
    </row>
    <row r="98" spans="1:15" ht="15.75" x14ac:dyDescent="0.25">
      <c r="A98" s="210" t="s">
        <v>72</v>
      </c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0"/>
      <c r="M98" s="210"/>
      <c r="N98" s="210"/>
      <c r="O98" s="4"/>
    </row>
    <row r="99" spans="1:15" ht="15.75" x14ac:dyDescent="0.25">
      <c r="A99" s="211" t="s">
        <v>125</v>
      </c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4"/>
    </row>
    <row r="100" spans="1:15" ht="15.75" x14ac:dyDescent="0.25">
      <c r="A100" s="5" t="s">
        <v>46</v>
      </c>
      <c r="B100" s="208" t="s">
        <v>123</v>
      </c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4"/>
    </row>
    <row r="101" spans="1:15" ht="15.75" x14ac:dyDescent="0.25">
      <c r="A101" s="5" t="s">
        <v>47</v>
      </c>
      <c r="B101" s="175" t="s">
        <v>95</v>
      </c>
      <c r="C101" s="175"/>
      <c r="D101" s="175"/>
      <c r="E101" s="175"/>
      <c r="F101" s="175"/>
      <c r="G101" s="175"/>
      <c r="H101" s="175"/>
      <c r="I101" s="175"/>
      <c r="J101" s="175"/>
      <c r="K101" s="175"/>
      <c r="L101" s="174" t="s">
        <v>74</v>
      </c>
      <c r="M101" s="174"/>
      <c r="N101" s="34">
        <v>3620.5444668840551</v>
      </c>
      <c r="O101" s="4"/>
    </row>
    <row r="102" spans="1:15" x14ac:dyDescent="0.25">
      <c r="A102" s="6" t="s">
        <v>21</v>
      </c>
      <c r="B102" s="7" t="s">
        <v>92</v>
      </c>
      <c r="C102" s="6" t="s">
        <v>22</v>
      </c>
      <c r="D102" s="7">
        <v>2020</v>
      </c>
      <c r="E102" s="194" t="s">
        <v>20</v>
      </c>
      <c r="F102" s="194"/>
      <c r="G102" s="194"/>
      <c r="H102" s="195" t="s">
        <v>124</v>
      </c>
      <c r="I102" s="196"/>
      <c r="J102" s="196"/>
      <c r="K102" s="196"/>
      <c r="L102" s="196"/>
      <c r="M102" s="196"/>
      <c r="N102" s="197"/>
      <c r="O102" s="4"/>
    </row>
    <row r="103" spans="1:15" x14ac:dyDescent="0.25">
      <c r="A103" s="198" t="s">
        <v>48</v>
      </c>
      <c r="B103" s="199"/>
      <c r="C103" s="200"/>
      <c r="D103" s="204" t="s">
        <v>49</v>
      </c>
      <c r="E103" s="205"/>
      <c r="F103" s="205"/>
      <c r="G103" s="205"/>
      <c r="H103" s="206"/>
      <c r="I103" s="207" t="s">
        <v>50</v>
      </c>
      <c r="J103" s="207"/>
      <c r="K103" s="207"/>
      <c r="L103" s="207"/>
      <c r="M103" s="207"/>
      <c r="N103" s="207"/>
      <c r="O103" s="4"/>
    </row>
    <row r="104" spans="1:15" ht="30" x14ac:dyDescent="0.25">
      <c r="A104" s="201"/>
      <c r="B104" s="202"/>
      <c r="C104" s="203"/>
      <c r="D104" s="8" t="s">
        <v>51</v>
      </c>
      <c r="E104" s="8" t="s">
        <v>52</v>
      </c>
      <c r="F104" s="8" t="s">
        <v>53</v>
      </c>
      <c r="G104" s="8" t="s">
        <v>54</v>
      </c>
      <c r="H104" s="8" t="s">
        <v>55</v>
      </c>
      <c r="I104" s="33" t="s">
        <v>51</v>
      </c>
      <c r="J104" s="33" t="s">
        <v>52</v>
      </c>
      <c r="K104" s="33" t="s">
        <v>53</v>
      </c>
      <c r="L104" s="33" t="s">
        <v>54</v>
      </c>
      <c r="M104" s="201" t="s">
        <v>56</v>
      </c>
      <c r="N104" s="203"/>
      <c r="O104" s="4"/>
    </row>
    <row r="105" spans="1:15" x14ac:dyDescent="0.25">
      <c r="A105" s="181" t="s">
        <v>2</v>
      </c>
      <c r="B105" s="182"/>
      <c r="C105" s="183"/>
      <c r="D105" s="9" t="s">
        <v>57</v>
      </c>
      <c r="E105" s="9" t="s">
        <v>57</v>
      </c>
      <c r="F105" s="9" t="s">
        <v>57</v>
      </c>
      <c r="G105" s="9" t="s">
        <v>57</v>
      </c>
      <c r="H105" s="9"/>
      <c r="I105" s="15">
        <v>0</v>
      </c>
      <c r="J105" s="15">
        <v>0</v>
      </c>
      <c r="K105" s="15">
        <v>0</v>
      </c>
      <c r="L105" s="15">
        <v>0</v>
      </c>
      <c r="M105" s="190">
        <f>I105+J105+K105+L105</f>
        <v>0</v>
      </c>
      <c r="N105" s="191"/>
      <c r="O105" s="4"/>
    </row>
    <row r="106" spans="1:15" x14ac:dyDescent="0.25">
      <c r="A106" s="181" t="s">
        <v>3</v>
      </c>
      <c r="B106" s="182"/>
      <c r="C106" s="183"/>
      <c r="D106" s="9" t="s">
        <v>57</v>
      </c>
      <c r="E106" s="9" t="s">
        <v>57</v>
      </c>
      <c r="F106" s="9" t="s">
        <v>57</v>
      </c>
      <c r="G106" s="9" t="s">
        <v>57</v>
      </c>
      <c r="H106" s="9"/>
      <c r="I106" s="15">
        <v>0</v>
      </c>
      <c r="J106" s="15">
        <v>0</v>
      </c>
      <c r="K106" s="15">
        <v>0</v>
      </c>
      <c r="L106" s="15">
        <v>0</v>
      </c>
      <c r="M106" s="192">
        <f t="shared" ref="M106:M113" si="4">I106+J106+K106+L106</f>
        <v>0</v>
      </c>
      <c r="N106" s="193"/>
      <c r="O106" s="4"/>
    </row>
    <row r="107" spans="1:15" x14ac:dyDescent="0.25">
      <c r="A107" s="181" t="s">
        <v>4</v>
      </c>
      <c r="B107" s="182"/>
      <c r="C107" s="183"/>
      <c r="D107" s="9" t="s">
        <v>57</v>
      </c>
      <c r="E107" s="9" t="s">
        <v>57</v>
      </c>
      <c r="F107" s="9" t="s">
        <v>57</v>
      </c>
      <c r="G107" s="9" t="s">
        <v>57</v>
      </c>
      <c r="H107" s="9"/>
      <c r="I107" s="15">
        <v>0</v>
      </c>
      <c r="J107" s="15">
        <v>0</v>
      </c>
      <c r="K107" s="15">
        <v>0</v>
      </c>
      <c r="L107" s="15">
        <v>0</v>
      </c>
      <c r="M107" s="192">
        <f t="shared" si="4"/>
        <v>0</v>
      </c>
      <c r="N107" s="193"/>
      <c r="O107" s="4"/>
    </row>
    <row r="108" spans="1:15" x14ac:dyDescent="0.25">
      <c r="A108" s="181" t="s">
        <v>5</v>
      </c>
      <c r="B108" s="182"/>
      <c r="C108" s="183"/>
      <c r="D108" s="9" t="s">
        <v>57</v>
      </c>
      <c r="E108" s="9" t="s">
        <v>57</v>
      </c>
      <c r="F108" s="9" t="s">
        <v>57</v>
      </c>
      <c r="G108" s="9" t="s">
        <v>57</v>
      </c>
      <c r="H108" s="9"/>
      <c r="I108" s="15">
        <v>0</v>
      </c>
      <c r="J108" s="15">
        <v>0</v>
      </c>
      <c r="K108" s="15">
        <v>0</v>
      </c>
      <c r="L108" s="15">
        <v>0</v>
      </c>
      <c r="M108" s="192">
        <f t="shared" si="4"/>
        <v>0</v>
      </c>
      <c r="N108" s="193"/>
      <c r="O108" s="4"/>
    </row>
    <row r="109" spans="1:15" x14ac:dyDescent="0.25">
      <c r="A109" s="181" t="s">
        <v>6</v>
      </c>
      <c r="B109" s="182"/>
      <c r="C109" s="183"/>
      <c r="D109" s="9" t="s">
        <v>57</v>
      </c>
      <c r="E109" s="9" t="s">
        <v>57</v>
      </c>
      <c r="F109" s="9" t="s">
        <v>57</v>
      </c>
      <c r="G109" s="9" t="s">
        <v>57</v>
      </c>
      <c r="H109" s="9"/>
      <c r="I109" s="15">
        <v>0</v>
      </c>
      <c r="J109" s="15">
        <v>0</v>
      </c>
      <c r="K109" s="15">
        <v>0</v>
      </c>
      <c r="L109" s="15">
        <v>0</v>
      </c>
      <c r="M109" s="192">
        <f t="shared" si="4"/>
        <v>0</v>
      </c>
      <c r="N109" s="193"/>
      <c r="O109" s="4"/>
    </row>
    <row r="110" spans="1:15" x14ac:dyDescent="0.25">
      <c r="A110" s="181" t="s">
        <v>8</v>
      </c>
      <c r="B110" s="182"/>
      <c r="C110" s="183"/>
      <c r="D110" s="9" t="s">
        <v>57</v>
      </c>
      <c r="E110" s="9" t="s">
        <v>57</v>
      </c>
      <c r="F110" s="9" t="s">
        <v>57</v>
      </c>
      <c r="G110" s="9" t="s">
        <v>57</v>
      </c>
      <c r="H110" s="9"/>
      <c r="I110" s="15">
        <v>0</v>
      </c>
      <c r="J110" s="15">
        <v>0</v>
      </c>
      <c r="K110" s="15">
        <v>0</v>
      </c>
      <c r="L110" s="15">
        <v>0</v>
      </c>
      <c r="M110" s="192">
        <f t="shared" si="4"/>
        <v>0</v>
      </c>
      <c r="N110" s="193"/>
      <c r="O110" s="4"/>
    </row>
    <row r="111" spans="1:15" x14ac:dyDescent="0.25">
      <c r="A111" s="181" t="s">
        <v>38</v>
      </c>
      <c r="B111" s="182"/>
      <c r="C111" s="183"/>
      <c r="D111" s="9" t="s">
        <v>57</v>
      </c>
      <c r="E111" s="9" t="s">
        <v>57</v>
      </c>
      <c r="F111" s="9" t="s">
        <v>57</v>
      </c>
      <c r="G111" s="9" t="s">
        <v>57</v>
      </c>
      <c r="H111" s="9"/>
      <c r="I111" s="15">
        <v>0</v>
      </c>
      <c r="J111" s="15">
        <v>0</v>
      </c>
      <c r="K111" s="15">
        <v>0</v>
      </c>
      <c r="L111" s="15">
        <v>0</v>
      </c>
      <c r="M111" s="192">
        <f t="shared" si="4"/>
        <v>0</v>
      </c>
      <c r="N111" s="193"/>
      <c r="O111" s="4"/>
    </row>
    <row r="112" spans="1:15" x14ac:dyDescent="0.25">
      <c r="A112" s="181" t="s">
        <v>7</v>
      </c>
      <c r="B112" s="182"/>
      <c r="C112" s="183"/>
      <c r="D112" s="9" t="s">
        <v>57</v>
      </c>
      <c r="E112" s="9" t="s">
        <v>57</v>
      </c>
      <c r="F112" s="9" t="s">
        <v>57</v>
      </c>
      <c r="G112" s="9" t="s">
        <v>57</v>
      </c>
      <c r="H112" s="9"/>
      <c r="I112" s="15">
        <v>0</v>
      </c>
      <c r="J112" s="15">
        <v>0</v>
      </c>
      <c r="K112" s="15">
        <v>0</v>
      </c>
      <c r="L112" s="15">
        <v>0</v>
      </c>
      <c r="M112" s="192">
        <f t="shared" si="4"/>
        <v>0</v>
      </c>
      <c r="N112" s="193"/>
      <c r="O112" s="4"/>
    </row>
    <row r="113" spans="1:15" x14ac:dyDescent="0.25">
      <c r="A113" s="181" t="s">
        <v>90</v>
      </c>
      <c r="B113" s="182"/>
      <c r="C113" s="183"/>
      <c r="D113" s="9" t="s">
        <v>57</v>
      </c>
      <c r="E113" s="9" t="s">
        <v>57</v>
      </c>
      <c r="F113" s="9" t="s">
        <v>57</v>
      </c>
      <c r="G113" s="9" t="s">
        <v>57</v>
      </c>
      <c r="H113" s="9"/>
      <c r="I113" s="15">
        <v>0</v>
      </c>
      <c r="J113" s="15">
        <v>0</v>
      </c>
      <c r="K113" s="15">
        <v>0</v>
      </c>
      <c r="L113" s="15">
        <v>0</v>
      </c>
      <c r="M113" s="188">
        <f t="shared" si="4"/>
        <v>0</v>
      </c>
      <c r="N113" s="189"/>
      <c r="O113" s="4"/>
    </row>
    <row r="114" spans="1:15" x14ac:dyDescent="0.25">
      <c r="O114" s="4"/>
    </row>
    <row r="115" spans="1:15" ht="15.75" x14ac:dyDescent="0.25">
      <c r="A115" s="177" t="s">
        <v>58</v>
      </c>
      <c r="B115" s="177"/>
      <c r="C115" s="177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4"/>
    </row>
    <row r="116" spans="1:15" x14ac:dyDescent="0.25">
      <c r="A116" s="178"/>
      <c r="B116" s="179"/>
      <c r="C116" s="179"/>
      <c r="D116" s="179"/>
      <c r="E116" s="179"/>
      <c r="F116" s="179"/>
      <c r="G116" s="179"/>
      <c r="H116" s="179"/>
      <c r="I116" s="179"/>
      <c r="J116" s="179"/>
      <c r="K116" s="179"/>
      <c r="L116" s="179"/>
      <c r="M116" s="179"/>
      <c r="N116" s="180"/>
      <c r="O116" s="10">
        <f>A116</f>
        <v>0</v>
      </c>
    </row>
    <row r="117" spans="1:15" x14ac:dyDescent="0.25">
      <c r="A117" s="174" t="s">
        <v>59</v>
      </c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0"/>
    </row>
    <row r="118" spans="1:15" x14ac:dyDescent="0.25">
      <c r="A118" s="178"/>
      <c r="B118" s="179"/>
      <c r="C118" s="179"/>
      <c r="D118" s="179"/>
      <c r="E118" s="179"/>
      <c r="F118" s="179"/>
      <c r="G118" s="179"/>
      <c r="H118" s="179"/>
      <c r="I118" s="179"/>
      <c r="J118" s="179"/>
      <c r="K118" s="179"/>
      <c r="L118" s="179"/>
      <c r="M118" s="179"/>
      <c r="N118" s="180"/>
      <c r="O118" s="10">
        <f t="shared" ref="O118:O139" si="5">A118</f>
        <v>0</v>
      </c>
    </row>
    <row r="119" spans="1:15" x14ac:dyDescent="0.25">
      <c r="A119" s="176" t="s">
        <v>60</v>
      </c>
      <c r="B119" s="176"/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 t="s">
        <v>61</v>
      </c>
      <c r="N119" s="176"/>
      <c r="O119" s="10"/>
    </row>
    <row r="120" spans="1:15" x14ac:dyDescent="0.25">
      <c r="A120" s="176" t="s">
        <v>62</v>
      </c>
      <c r="B120" s="176"/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 t="s">
        <v>61</v>
      </c>
      <c r="N120" s="176"/>
      <c r="O120" s="10"/>
    </row>
    <row r="121" spans="1:15" x14ac:dyDescent="0.25">
      <c r="O121" s="10"/>
    </row>
    <row r="122" spans="1:15" ht="15.75" x14ac:dyDescent="0.25">
      <c r="A122" s="184" t="s">
        <v>63</v>
      </c>
      <c r="B122" s="185"/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6"/>
      <c r="O122" s="10"/>
    </row>
    <row r="123" spans="1:15" x14ac:dyDescent="0.25">
      <c r="A123" s="178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0">
        <f t="shared" si="5"/>
        <v>0</v>
      </c>
    </row>
    <row r="124" spans="1:15" x14ac:dyDescent="0.25">
      <c r="A124" s="174" t="s">
        <v>64</v>
      </c>
      <c r="B124" s="174"/>
      <c r="C124" s="174"/>
      <c r="D124" s="174"/>
      <c r="E124" s="174"/>
      <c r="F124" s="174"/>
      <c r="G124" s="174"/>
      <c r="H124" s="174"/>
      <c r="I124" s="174"/>
      <c r="J124" s="174"/>
      <c r="K124" s="174"/>
      <c r="L124" s="174"/>
      <c r="M124" s="174"/>
      <c r="N124" s="174"/>
      <c r="O124" s="10"/>
    </row>
    <row r="125" spans="1:15" x14ac:dyDescent="0.25">
      <c r="A125" s="178"/>
      <c r="B125" s="179"/>
      <c r="C125" s="179"/>
      <c r="D125" s="179"/>
      <c r="E125" s="179"/>
      <c r="F125" s="179"/>
      <c r="G125" s="179"/>
      <c r="H125" s="179"/>
      <c r="I125" s="179"/>
      <c r="J125" s="179"/>
      <c r="K125" s="179"/>
      <c r="L125" s="179"/>
      <c r="M125" s="179"/>
      <c r="N125" s="180"/>
      <c r="O125" s="10">
        <f t="shared" si="5"/>
        <v>0</v>
      </c>
    </row>
    <row r="126" spans="1:15" x14ac:dyDescent="0.25">
      <c r="A126" s="176" t="s">
        <v>60</v>
      </c>
      <c r="B126" s="176"/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 t="s">
        <v>61</v>
      </c>
      <c r="N126" s="176"/>
      <c r="O126" s="10"/>
    </row>
    <row r="127" spans="1:15" x14ac:dyDescent="0.25">
      <c r="A127" s="176" t="s">
        <v>62</v>
      </c>
      <c r="B127" s="176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 t="s">
        <v>61</v>
      </c>
      <c r="N127" s="176"/>
      <c r="O127" s="10"/>
    </row>
    <row r="128" spans="1:15" x14ac:dyDescent="0.25">
      <c r="O128" s="10"/>
    </row>
    <row r="129" spans="1:15" ht="15.75" x14ac:dyDescent="0.25">
      <c r="A129" s="177" t="s">
        <v>65</v>
      </c>
      <c r="B129" s="177"/>
      <c r="C129" s="177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0"/>
    </row>
    <row r="130" spans="1:15" x14ac:dyDescent="0.25">
      <c r="A130" s="178"/>
      <c r="B130" s="179"/>
      <c r="C130" s="179"/>
      <c r="D130" s="179"/>
      <c r="E130" s="179"/>
      <c r="F130" s="179"/>
      <c r="G130" s="179"/>
      <c r="H130" s="179"/>
      <c r="I130" s="179"/>
      <c r="J130" s="179"/>
      <c r="K130" s="179"/>
      <c r="L130" s="179"/>
      <c r="M130" s="179"/>
      <c r="N130" s="180"/>
      <c r="O130" s="10">
        <f t="shared" si="5"/>
        <v>0</v>
      </c>
    </row>
    <row r="131" spans="1:15" x14ac:dyDescent="0.25">
      <c r="A131" s="174" t="s">
        <v>66</v>
      </c>
      <c r="B131" s="174"/>
      <c r="C131" s="174"/>
      <c r="D131" s="174"/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0"/>
    </row>
    <row r="132" spans="1:15" x14ac:dyDescent="0.25">
      <c r="A132" s="178"/>
      <c r="B132" s="179"/>
      <c r="C132" s="179"/>
      <c r="D132" s="179"/>
      <c r="E132" s="179"/>
      <c r="F132" s="179"/>
      <c r="G132" s="179"/>
      <c r="H132" s="179"/>
      <c r="I132" s="179"/>
      <c r="J132" s="179"/>
      <c r="K132" s="179"/>
      <c r="L132" s="179"/>
      <c r="M132" s="179"/>
      <c r="N132" s="180"/>
      <c r="O132" s="10">
        <f t="shared" si="5"/>
        <v>0</v>
      </c>
    </row>
    <row r="133" spans="1:15" x14ac:dyDescent="0.25">
      <c r="A133" s="187" t="s">
        <v>60</v>
      </c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76" t="s">
        <v>61</v>
      </c>
      <c r="N133" s="176"/>
      <c r="O133" s="10"/>
    </row>
    <row r="134" spans="1:15" x14ac:dyDescent="0.25">
      <c r="A134" s="187" t="s">
        <v>62</v>
      </c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76" t="s">
        <v>61</v>
      </c>
      <c r="N134" s="176"/>
      <c r="O134" s="10"/>
    </row>
    <row r="135" spans="1:15" x14ac:dyDescent="0.25">
      <c r="O135" s="10"/>
    </row>
    <row r="136" spans="1:15" ht="15.75" x14ac:dyDescent="0.25">
      <c r="A136" s="184" t="s">
        <v>67</v>
      </c>
      <c r="B136" s="185"/>
      <c r="C136" s="185"/>
      <c r="D136" s="185"/>
      <c r="E136" s="185"/>
      <c r="F136" s="185"/>
      <c r="G136" s="185"/>
      <c r="H136" s="185"/>
      <c r="I136" s="185"/>
      <c r="J136" s="185"/>
      <c r="K136" s="185"/>
      <c r="L136" s="185"/>
      <c r="M136" s="185"/>
      <c r="N136" s="186"/>
      <c r="O136" s="10"/>
    </row>
    <row r="137" spans="1:15" x14ac:dyDescent="0.25">
      <c r="A137" s="178"/>
      <c r="B137" s="179"/>
      <c r="C137" s="179"/>
      <c r="D137" s="179"/>
      <c r="E137" s="179"/>
      <c r="F137" s="179"/>
      <c r="G137" s="179"/>
      <c r="H137" s="179"/>
      <c r="I137" s="179"/>
      <c r="J137" s="179"/>
      <c r="K137" s="179"/>
      <c r="L137" s="179"/>
      <c r="M137" s="179"/>
      <c r="N137" s="180"/>
      <c r="O137" s="10">
        <f t="shared" si="5"/>
        <v>0</v>
      </c>
    </row>
    <row r="138" spans="1:15" x14ac:dyDescent="0.25">
      <c r="A138" s="174" t="s">
        <v>68</v>
      </c>
      <c r="B138" s="174"/>
      <c r="C138" s="174"/>
      <c r="D138" s="174"/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0"/>
    </row>
    <row r="139" spans="1:15" x14ac:dyDescent="0.25">
      <c r="A139" s="178"/>
      <c r="B139" s="179"/>
      <c r="C139" s="179"/>
      <c r="D139" s="179"/>
      <c r="E139" s="179"/>
      <c r="F139" s="179"/>
      <c r="G139" s="179"/>
      <c r="H139" s="179"/>
      <c r="I139" s="179"/>
      <c r="J139" s="179"/>
      <c r="K139" s="179"/>
      <c r="L139" s="179"/>
      <c r="M139" s="179"/>
      <c r="N139" s="180"/>
      <c r="O139" s="10">
        <f t="shared" si="5"/>
        <v>0</v>
      </c>
    </row>
    <row r="140" spans="1:15" x14ac:dyDescent="0.25">
      <c r="A140" s="176" t="s">
        <v>60</v>
      </c>
      <c r="B140" s="176"/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 t="s">
        <v>61</v>
      </c>
      <c r="N140" s="176"/>
      <c r="O140" s="10"/>
    </row>
    <row r="141" spans="1:15" x14ac:dyDescent="0.25">
      <c r="A141" s="176" t="s">
        <v>62</v>
      </c>
      <c r="B141" s="176"/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 t="s">
        <v>61</v>
      </c>
      <c r="N141" s="176"/>
      <c r="O141" s="10"/>
    </row>
    <row r="142" spans="1:15" x14ac:dyDescent="0.25">
      <c r="A142" s="209" t="s">
        <v>91</v>
      </c>
      <c r="B142" s="209"/>
      <c r="C142" s="209"/>
      <c r="D142" s="209"/>
      <c r="E142" s="209"/>
      <c r="F142" s="209"/>
      <c r="G142" s="209"/>
      <c r="H142" s="209"/>
      <c r="I142" s="209"/>
      <c r="J142" s="209"/>
      <c r="K142" s="209"/>
      <c r="L142" s="209"/>
      <c r="M142" s="209"/>
      <c r="N142" s="209"/>
      <c r="O142" s="4"/>
    </row>
    <row r="143" spans="1:15" x14ac:dyDescent="0.25">
      <c r="A143" s="209" t="s">
        <v>89</v>
      </c>
      <c r="B143" s="209"/>
      <c r="C143" s="209"/>
      <c r="D143" s="209"/>
      <c r="E143" s="209"/>
      <c r="F143" s="209"/>
      <c r="G143" s="209"/>
      <c r="H143" s="209"/>
      <c r="I143" s="209"/>
      <c r="J143" s="209"/>
      <c r="K143" s="209"/>
      <c r="L143" s="209"/>
      <c r="M143" s="209"/>
      <c r="N143" s="209"/>
      <c r="O143" s="4"/>
    </row>
    <row r="144" spans="1:15" x14ac:dyDescent="0.25">
      <c r="A144" s="209" t="s">
        <v>44</v>
      </c>
      <c r="B144" s="209"/>
      <c r="C144" s="209"/>
      <c r="D144" s="209"/>
      <c r="E144" s="209"/>
      <c r="F144" s="209"/>
      <c r="G144" s="209"/>
      <c r="H144" s="209"/>
      <c r="I144" s="209"/>
      <c r="J144" s="209"/>
      <c r="K144" s="209"/>
      <c r="L144" s="209"/>
      <c r="M144" s="209"/>
      <c r="N144" s="209"/>
      <c r="O144" s="4"/>
    </row>
    <row r="145" spans="1:15" ht="15.75" x14ac:dyDescent="0.25">
      <c r="A145" s="210" t="s">
        <v>72</v>
      </c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0"/>
      <c r="M145" s="210"/>
      <c r="N145" s="210"/>
      <c r="O145" s="4"/>
    </row>
    <row r="146" spans="1:15" ht="15.75" x14ac:dyDescent="0.25">
      <c r="A146" s="211" t="s">
        <v>125</v>
      </c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4"/>
    </row>
    <row r="147" spans="1:15" ht="15.75" x14ac:dyDescent="0.25">
      <c r="A147" s="5" t="s">
        <v>46</v>
      </c>
      <c r="B147" s="208" t="s">
        <v>123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M147" s="208"/>
      <c r="N147" s="208"/>
      <c r="O147" s="4"/>
    </row>
    <row r="148" spans="1:15" ht="15.75" x14ac:dyDescent="0.25">
      <c r="A148" s="5" t="s">
        <v>47</v>
      </c>
      <c r="B148" s="175" t="s">
        <v>96</v>
      </c>
      <c r="C148" s="175"/>
      <c r="D148" s="175"/>
      <c r="E148" s="175"/>
      <c r="F148" s="175"/>
      <c r="G148" s="175"/>
      <c r="H148" s="175"/>
      <c r="I148" s="175"/>
      <c r="J148" s="175"/>
      <c r="K148" s="175"/>
      <c r="L148" s="174" t="s">
        <v>74</v>
      </c>
      <c r="M148" s="174"/>
      <c r="N148" s="34">
        <v>404.88884412420265</v>
      </c>
      <c r="O148" s="4"/>
    </row>
    <row r="149" spans="1:15" x14ac:dyDescent="0.25">
      <c r="A149" s="6" t="s">
        <v>21</v>
      </c>
      <c r="B149" s="7" t="s">
        <v>92</v>
      </c>
      <c r="C149" s="6" t="s">
        <v>22</v>
      </c>
      <c r="D149" s="7">
        <v>2020</v>
      </c>
      <c r="E149" s="194" t="s">
        <v>20</v>
      </c>
      <c r="F149" s="194"/>
      <c r="G149" s="194"/>
      <c r="H149" s="195" t="s">
        <v>124</v>
      </c>
      <c r="I149" s="196"/>
      <c r="J149" s="196"/>
      <c r="K149" s="196"/>
      <c r="L149" s="196"/>
      <c r="M149" s="196"/>
      <c r="N149" s="197"/>
      <c r="O149" s="4"/>
    </row>
    <row r="150" spans="1:15" x14ac:dyDescent="0.25">
      <c r="A150" s="198" t="s">
        <v>48</v>
      </c>
      <c r="B150" s="199"/>
      <c r="C150" s="200"/>
      <c r="D150" s="204" t="s">
        <v>49</v>
      </c>
      <c r="E150" s="205"/>
      <c r="F150" s="205"/>
      <c r="G150" s="205"/>
      <c r="H150" s="206"/>
      <c r="I150" s="207" t="s">
        <v>50</v>
      </c>
      <c r="J150" s="207"/>
      <c r="K150" s="207"/>
      <c r="L150" s="207"/>
      <c r="M150" s="207"/>
      <c r="N150" s="207"/>
      <c r="O150" s="4"/>
    </row>
    <row r="151" spans="1:15" ht="30" x14ac:dyDescent="0.25">
      <c r="A151" s="201"/>
      <c r="B151" s="202"/>
      <c r="C151" s="203"/>
      <c r="D151" s="8" t="s">
        <v>51</v>
      </c>
      <c r="E151" s="8" t="s">
        <v>52</v>
      </c>
      <c r="F151" s="8" t="s">
        <v>53</v>
      </c>
      <c r="G151" s="8" t="s">
        <v>54</v>
      </c>
      <c r="H151" s="8" t="s">
        <v>55</v>
      </c>
      <c r="I151" s="33" t="s">
        <v>51</v>
      </c>
      <c r="J151" s="33" t="s">
        <v>52</v>
      </c>
      <c r="K151" s="33" t="s">
        <v>53</v>
      </c>
      <c r="L151" s="33" t="s">
        <v>54</v>
      </c>
      <c r="M151" s="201" t="s">
        <v>56</v>
      </c>
      <c r="N151" s="203"/>
      <c r="O151" s="4"/>
    </row>
    <row r="152" spans="1:15" x14ac:dyDescent="0.25">
      <c r="A152" s="181" t="s">
        <v>2</v>
      </c>
      <c r="B152" s="182"/>
      <c r="C152" s="183"/>
      <c r="D152" s="9" t="s">
        <v>57</v>
      </c>
      <c r="E152" s="9" t="s">
        <v>57</v>
      </c>
      <c r="F152" s="9" t="s">
        <v>57</v>
      </c>
      <c r="G152" s="9" t="s">
        <v>57</v>
      </c>
      <c r="H152" s="9"/>
      <c r="I152" s="15">
        <v>0</v>
      </c>
      <c r="J152" s="15">
        <v>0</v>
      </c>
      <c r="K152" s="15">
        <v>0</v>
      </c>
      <c r="L152" s="15">
        <v>0</v>
      </c>
      <c r="M152" s="190">
        <f>I152+J152+K152+L152</f>
        <v>0</v>
      </c>
      <c r="N152" s="191"/>
      <c r="O152" s="4"/>
    </row>
    <row r="153" spans="1:15" x14ac:dyDescent="0.25">
      <c r="A153" s="181" t="s">
        <v>3</v>
      </c>
      <c r="B153" s="182"/>
      <c r="C153" s="183"/>
      <c r="D153" s="9" t="s">
        <v>57</v>
      </c>
      <c r="E153" s="9" t="s">
        <v>57</v>
      </c>
      <c r="F153" s="9" t="s">
        <v>57</v>
      </c>
      <c r="G153" s="9" t="s">
        <v>57</v>
      </c>
      <c r="H153" s="9"/>
      <c r="I153" s="15">
        <v>0</v>
      </c>
      <c r="J153" s="15">
        <v>0</v>
      </c>
      <c r="K153" s="15">
        <v>0</v>
      </c>
      <c r="L153" s="15">
        <v>0</v>
      </c>
      <c r="M153" s="192">
        <f t="shared" ref="M153:M160" si="6">I153+J153+K153+L153</f>
        <v>0</v>
      </c>
      <c r="N153" s="193"/>
      <c r="O153" s="4"/>
    </row>
    <row r="154" spans="1:15" x14ac:dyDescent="0.25">
      <c r="A154" s="181" t="s">
        <v>4</v>
      </c>
      <c r="B154" s="182"/>
      <c r="C154" s="183"/>
      <c r="D154" s="9" t="s">
        <v>57</v>
      </c>
      <c r="E154" s="9" t="s">
        <v>57</v>
      </c>
      <c r="F154" s="9" t="s">
        <v>57</v>
      </c>
      <c r="G154" s="9" t="s">
        <v>57</v>
      </c>
      <c r="H154" s="9"/>
      <c r="I154" s="15">
        <v>0</v>
      </c>
      <c r="J154" s="15">
        <v>0</v>
      </c>
      <c r="K154" s="15">
        <v>0</v>
      </c>
      <c r="L154" s="15">
        <v>0</v>
      </c>
      <c r="M154" s="192">
        <f t="shared" si="6"/>
        <v>0</v>
      </c>
      <c r="N154" s="193"/>
      <c r="O154" s="4"/>
    </row>
    <row r="155" spans="1:15" x14ac:dyDescent="0.25">
      <c r="A155" s="181" t="s">
        <v>5</v>
      </c>
      <c r="B155" s="182"/>
      <c r="C155" s="183"/>
      <c r="D155" s="9" t="s">
        <v>57</v>
      </c>
      <c r="E155" s="9" t="s">
        <v>57</v>
      </c>
      <c r="F155" s="9" t="s">
        <v>57</v>
      </c>
      <c r="G155" s="9" t="s">
        <v>57</v>
      </c>
      <c r="H155" s="9"/>
      <c r="I155" s="15">
        <v>0</v>
      </c>
      <c r="J155" s="15">
        <v>0</v>
      </c>
      <c r="K155" s="15">
        <v>0</v>
      </c>
      <c r="L155" s="15">
        <v>0</v>
      </c>
      <c r="M155" s="192">
        <f t="shared" si="6"/>
        <v>0</v>
      </c>
      <c r="N155" s="193"/>
      <c r="O155" s="4"/>
    </row>
    <row r="156" spans="1:15" x14ac:dyDescent="0.25">
      <c r="A156" s="181" t="s">
        <v>6</v>
      </c>
      <c r="B156" s="182"/>
      <c r="C156" s="183"/>
      <c r="D156" s="9" t="s">
        <v>57</v>
      </c>
      <c r="E156" s="9" t="s">
        <v>57</v>
      </c>
      <c r="F156" s="9" t="s">
        <v>57</v>
      </c>
      <c r="G156" s="9" t="s">
        <v>57</v>
      </c>
      <c r="H156" s="9"/>
      <c r="I156" s="15">
        <v>0</v>
      </c>
      <c r="J156" s="15">
        <v>0</v>
      </c>
      <c r="K156" s="15">
        <v>0</v>
      </c>
      <c r="L156" s="15">
        <v>0</v>
      </c>
      <c r="M156" s="192">
        <f t="shared" si="6"/>
        <v>0</v>
      </c>
      <c r="N156" s="193"/>
      <c r="O156" s="4"/>
    </row>
    <row r="157" spans="1:15" x14ac:dyDescent="0.25">
      <c r="A157" s="181" t="s">
        <v>8</v>
      </c>
      <c r="B157" s="182"/>
      <c r="C157" s="183"/>
      <c r="D157" s="9" t="s">
        <v>57</v>
      </c>
      <c r="E157" s="9" t="s">
        <v>57</v>
      </c>
      <c r="F157" s="9" t="s">
        <v>57</v>
      </c>
      <c r="G157" s="9" t="s">
        <v>57</v>
      </c>
      <c r="H157" s="9"/>
      <c r="I157" s="15">
        <v>0</v>
      </c>
      <c r="J157" s="15">
        <v>0</v>
      </c>
      <c r="K157" s="15">
        <v>0</v>
      </c>
      <c r="L157" s="15">
        <v>0</v>
      </c>
      <c r="M157" s="192">
        <f t="shared" si="6"/>
        <v>0</v>
      </c>
      <c r="N157" s="193"/>
      <c r="O157" s="4"/>
    </row>
    <row r="158" spans="1:15" x14ac:dyDescent="0.25">
      <c r="A158" s="181" t="s">
        <v>38</v>
      </c>
      <c r="B158" s="182"/>
      <c r="C158" s="183"/>
      <c r="D158" s="9" t="s">
        <v>57</v>
      </c>
      <c r="E158" s="9" t="s">
        <v>57</v>
      </c>
      <c r="F158" s="9" t="s">
        <v>57</v>
      </c>
      <c r="G158" s="9" t="s">
        <v>57</v>
      </c>
      <c r="H158" s="9"/>
      <c r="I158" s="15">
        <v>0</v>
      </c>
      <c r="J158" s="15">
        <v>0</v>
      </c>
      <c r="K158" s="15">
        <v>0</v>
      </c>
      <c r="L158" s="15">
        <v>0</v>
      </c>
      <c r="M158" s="192">
        <f t="shared" si="6"/>
        <v>0</v>
      </c>
      <c r="N158" s="193"/>
      <c r="O158" s="4"/>
    </row>
    <row r="159" spans="1:15" x14ac:dyDescent="0.25">
      <c r="A159" s="181" t="s">
        <v>7</v>
      </c>
      <c r="B159" s="182"/>
      <c r="C159" s="183"/>
      <c r="D159" s="9" t="s">
        <v>57</v>
      </c>
      <c r="E159" s="9" t="s">
        <v>57</v>
      </c>
      <c r="F159" s="9" t="s">
        <v>57</v>
      </c>
      <c r="G159" s="9" t="s">
        <v>57</v>
      </c>
      <c r="H159" s="9"/>
      <c r="I159" s="15">
        <v>0</v>
      </c>
      <c r="J159" s="15">
        <v>0</v>
      </c>
      <c r="K159" s="15">
        <v>0</v>
      </c>
      <c r="L159" s="15">
        <v>0</v>
      </c>
      <c r="M159" s="192">
        <f t="shared" si="6"/>
        <v>0</v>
      </c>
      <c r="N159" s="193"/>
      <c r="O159" s="4"/>
    </row>
    <row r="160" spans="1:15" x14ac:dyDescent="0.25">
      <c r="A160" s="181" t="s">
        <v>90</v>
      </c>
      <c r="B160" s="182"/>
      <c r="C160" s="183"/>
      <c r="D160" s="9" t="s">
        <v>57</v>
      </c>
      <c r="E160" s="9" t="s">
        <v>57</v>
      </c>
      <c r="F160" s="9" t="s">
        <v>57</v>
      </c>
      <c r="G160" s="9" t="s">
        <v>57</v>
      </c>
      <c r="H160" s="9"/>
      <c r="I160" s="15">
        <v>0</v>
      </c>
      <c r="J160" s="15">
        <v>0</v>
      </c>
      <c r="K160" s="15">
        <v>0</v>
      </c>
      <c r="L160" s="15">
        <v>0</v>
      </c>
      <c r="M160" s="188">
        <f t="shared" si="6"/>
        <v>0</v>
      </c>
      <c r="N160" s="189"/>
      <c r="O160" s="4"/>
    </row>
    <row r="161" spans="1:15" x14ac:dyDescent="0.25">
      <c r="O161" s="4"/>
    </row>
    <row r="162" spans="1:15" ht="15.75" x14ac:dyDescent="0.25">
      <c r="A162" s="177" t="s">
        <v>58</v>
      </c>
      <c r="B162" s="177"/>
      <c r="C162" s="177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4"/>
    </row>
    <row r="163" spans="1:15" x14ac:dyDescent="0.25">
      <c r="A163" s="178"/>
      <c r="B163" s="179"/>
      <c r="C163" s="179"/>
      <c r="D163" s="179"/>
      <c r="E163" s="179"/>
      <c r="F163" s="179"/>
      <c r="G163" s="179"/>
      <c r="H163" s="179"/>
      <c r="I163" s="179"/>
      <c r="J163" s="179"/>
      <c r="K163" s="179"/>
      <c r="L163" s="179"/>
      <c r="M163" s="179"/>
      <c r="N163" s="180"/>
      <c r="O163" s="10">
        <f>A163</f>
        <v>0</v>
      </c>
    </row>
    <row r="164" spans="1:15" x14ac:dyDescent="0.25">
      <c r="A164" s="174" t="s">
        <v>59</v>
      </c>
      <c r="B164" s="174"/>
      <c r="C164" s="174"/>
      <c r="D164" s="174"/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0"/>
    </row>
    <row r="165" spans="1:15" x14ac:dyDescent="0.25">
      <c r="A165" s="178"/>
      <c r="B165" s="179"/>
      <c r="C165" s="179"/>
      <c r="D165" s="179"/>
      <c r="E165" s="179"/>
      <c r="F165" s="179"/>
      <c r="G165" s="179"/>
      <c r="H165" s="179"/>
      <c r="I165" s="179"/>
      <c r="J165" s="179"/>
      <c r="K165" s="179"/>
      <c r="L165" s="179"/>
      <c r="M165" s="179"/>
      <c r="N165" s="180"/>
      <c r="O165" s="10">
        <f t="shared" ref="O165:O186" si="7">A165</f>
        <v>0</v>
      </c>
    </row>
    <row r="166" spans="1:15" x14ac:dyDescent="0.25">
      <c r="A166" s="176" t="s">
        <v>60</v>
      </c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 t="s">
        <v>61</v>
      </c>
      <c r="N166" s="176"/>
      <c r="O166" s="10"/>
    </row>
    <row r="167" spans="1:15" x14ac:dyDescent="0.25">
      <c r="A167" s="176" t="s">
        <v>62</v>
      </c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 t="s">
        <v>61</v>
      </c>
      <c r="N167" s="176"/>
      <c r="O167" s="10"/>
    </row>
    <row r="168" spans="1:15" x14ac:dyDescent="0.25">
      <c r="O168" s="10"/>
    </row>
    <row r="169" spans="1:15" ht="15.75" x14ac:dyDescent="0.25">
      <c r="A169" s="184" t="s">
        <v>63</v>
      </c>
      <c r="B169" s="185"/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6"/>
      <c r="O169" s="10"/>
    </row>
    <row r="170" spans="1:15" x14ac:dyDescent="0.25">
      <c r="A170" s="178"/>
      <c r="B170" s="179"/>
      <c r="C170" s="179"/>
      <c r="D170" s="179"/>
      <c r="E170" s="179"/>
      <c r="F170" s="179"/>
      <c r="G170" s="179"/>
      <c r="H170" s="179"/>
      <c r="I170" s="179"/>
      <c r="J170" s="179"/>
      <c r="K170" s="179"/>
      <c r="L170" s="179"/>
      <c r="M170" s="179"/>
      <c r="N170" s="179"/>
      <c r="O170" s="10">
        <f t="shared" si="7"/>
        <v>0</v>
      </c>
    </row>
    <row r="171" spans="1:15" x14ac:dyDescent="0.25">
      <c r="A171" s="174" t="s">
        <v>64</v>
      </c>
      <c r="B171" s="174"/>
      <c r="C171" s="174"/>
      <c r="D171" s="174"/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0"/>
    </row>
    <row r="172" spans="1:15" x14ac:dyDescent="0.25">
      <c r="A172" s="178"/>
      <c r="B172" s="179"/>
      <c r="C172" s="179"/>
      <c r="D172" s="179"/>
      <c r="E172" s="179"/>
      <c r="F172" s="179"/>
      <c r="G172" s="179"/>
      <c r="H172" s="179"/>
      <c r="I172" s="179"/>
      <c r="J172" s="179"/>
      <c r="K172" s="179"/>
      <c r="L172" s="179"/>
      <c r="M172" s="179"/>
      <c r="N172" s="180"/>
      <c r="O172" s="10">
        <f t="shared" si="7"/>
        <v>0</v>
      </c>
    </row>
    <row r="173" spans="1:15" x14ac:dyDescent="0.25">
      <c r="A173" s="176" t="s">
        <v>60</v>
      </c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 t="s">
        <v>61</v>
      </c>
      <c r="N173" s="176"/>
      <c r="O173" s="10"/>
    </row>
    <row r="174" spans="1:15" x14ac:dyDescent="0.25">
      <c r="A174" s="176" t="s">
        <v>62</v>
      </c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 t="s">
        <v>61</v>
      </c>
      <c r="N174" s="176"/>
      <c r="O174" s="10"/>
    </row>
    <row r="175" spans="1:15" x14ac:dyDescent="0.25">
      <c r="O175" s="10"/>
    </row>
    <row r="176" spans="1:15" ht="15.75" x14ac:dyDescent="0.25">
      <c r="A176" s="177" t="s">
        <v>65</v>
      </c>
      <c r="B176" s="177"/>
      <c r="C176" s="177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0"/>
    </row>
    <row r="177" spans="1:15" x14ac:dyDescent="0.25">
      <c r="A177" s="178"/>
      <c r="B177" s="179"/>
      <c r="C177" s="179"/>
      <c r="D177" s="179"/>
      <c r="E177" s="179"/>
      <c r="F177" s="179"/>
      <c r="G177" s="179"/>
      <c r="H177" s="179"/>
      <c r="I177" s="179"/>
      <c r="J177" s="179"/>
      <c r="K177" s="179"/>
      <c r="L177" s="179"/>
      <c r="M177" s="179"/>
      <c r="N177" s="180"/>
      <c r="O177" s="10">
        <f t="shared" si="7"/>
        <v>0</v>
      </c>
    </row>
    <row r="178" spans="1:15" x14ac:dyDescent="0.25">
      <c r="A178" s="174" t="s">
        <v>66</v>
      </c>
      <c r="B178" s="174"/>
      <c r="C178" s="174"/>
      <c r="D178" s="174"/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0"/>
    </row>
    <row r="179" spans="1:15" x14ac:dyDescent="0.25">
      <c r="A179" s="178"/>
      <c r="B179" s="179"/>
      <c r="C179" s="179"/>
      <c r="D179" s="179"/>
      <c r="E179" s="179"/>
      <c r="F179" s="179"/>
      <c r="G179" s="179"/>
      <c r="H179" s="179"/>
      <c r="I179" s="179"/>
      <c r="J179" s="179"/>
      <c r="K179" s="179"/>
      <c r="L179" s="179"/>
      <c r="M179" s="179"/>
      <c r="N179" s="180"/>
      <c r="O179" s="10">
        <f t="shared" si="7"/>
        <v>0</v>
      </c>
    </row>
    <row r="180" spans="1:15" x14ac:dyDescent="0.25">
      <c r="A180" s="187" t="s">
        <v>60</v>
      </c>
      <c r="B180" s="187"/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76" t="s">
        <v>61</v>
      </c>
      <c r="N180" s="176"/>
      <c r="O180" s="10"/>
    </row>
    <row r="181" spans="1:15" x14ac:dyDescent="0.25">
      <c r="A181" s="187" t="s">
        <v>62</v>
      </c>
      <c r="B181" s="187"/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76" t="s">
        <v>61</v>
      </c>
      <c r="N181" s="176"/>
      <c r="O181" s="10"/>
    </row>
    <row r="182" spans="1:15" x14ac:dyDescent="0.25">
      <c r="O182" s="10"/>
    </row>
    <row r="183" spans="1:15" ht="15.75" x14ac:dyDescent="0.25">
      <c r="A183" s="184" t="s">
        <v>67</v>
      </c>
      <c r="B183" s="185"/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6"/>
      <c r="O183" s="10"/>
    </row>
    <row r="184" spans="1:15" x14ac:dyDescent="0.25">
      <c r="A184" s="178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80"/>
      <c r="O184" s="10">
        <f t="shared" si="7"/>
        <v>0</v>
      </c>
    </row>
    <row r="185" spans="1:15" x14ac:dyDescent="0.25">
      <c r="A185" s="174" t="s">
        <v>68</v>
      </c>
      <c r="B185" s="174"/>
      <c r="C185" s="174"/>
      <c r="D185" s="174"/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0"/>
    </row>
    <row r="186" spans="1:15" x14ac:dyDescent="0.25">
      <c r="A186" s="178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80"/>
      <c r="O186" s="10">
        <f t="shared" si="7"/>
        <v>0</v>
      </c>
    </row>
    <row r="187" spans="1:15" x14ac:dyDescent="0.25">
      <c r="A187" s="176" t="s">
        <v>60</v>
      </c>
      <c r="B187" s="176"/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 t="s">
        <v>61</v>
      </c>
      <c r="N187" s="176"/>
      <c r="O187" s="10"/>
    </row>
    <row r="188" spans="1:15" x14ac:dyDescent="0.25">
      <c r="A188" s="176" t="s">
        <v>62</v>
      </c>
      <c r="B188" s="176"/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 t="s">
        <v>61</v>
      </c>
      <c r="N188" s="176"/>
      <c r="O188" s="10"/>
    </row>
    <row r="189" spans="1:15" x14ac:dyDescent="0.25">
      <c r="A189" s="209" t="s">
        <v>91</v>
      </c>
      <c r="B189" s="209"/>
      <c r="C189" s="209"/>
      <c r="D189" s="209"/>
      <c r="E189" s="209"/>
      <c r="F189" s="209"/>
      <c r="G189" s="209"/>
      <c r="H189" s="209"/>
      <c r="I189" s="209"/>
      <c r="J189" s="209"/>
      <c r="K189" s="209"/>
      <c r="L189" s="209"/>
      <c r="M189" s="209"/>
      <c r="N189" s="209"/>
      <c r="O189" s="4"/>
    </row>
    <row r="190" spans="1:15" x14ac:dyDescent="0.25">
      <c r="A190" s="209" t="s">
        <v>89</v>
      </c>
      <c r="B190" s="209"/>
      <c r="C190" s="209"/>
      <c r="D190" s="209"/>
      <c r="E190" s="209"/>
      <c r="F190" s="209"/>
      <c r="G190" s="209"/>
      <c r="H190" s="209"/>
      <c r="I190" s="209"/>
      <c r="J190" s="209"/>
      <c r="K190" s="209"/>
      <c r="L190" s="209"/>
      <c r="M190" s="209"/>
      <c r="N190" s="209"/>
      <c r="O190" s="4"/>
    </row>
    <row r="191" spans="1:15" x14ac:dyDescent="0.25">
      <c r="A191" s="209" t="s">
        <v>44</v>
      </c>
      <c r="B191" s="209"/>
      <c r="C191" s="209"/>
      <c r="D191" s="209"/>
      <c r="E191" s="209"/>
      <c r="F191" s="209"/>
      <c r="G191" s="209"/>
      <c r="H191" s="209"/>
      <c r="I191" s="209"/>
      <c r="J191" s="209"/>
      <c r="K191" s="209"/>
      <c r="L191" s="209"/>
      <c r="M191" s="209"/>
      <c r="N191" s="209"/>
      <c r="O191" s="4"/>
    </row>
    <row r="192" spans="1:15" ht="15.75" x14ac:dyDescent="0.25">
      <c r="A192" s="210" t="s">
        <v>72</v>
      </c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0"/>
      <c r="M192" s="210"/>
      <c r="N192" s="210"/>
      <c r="O192" s="4"/>
    </row>
    <row r="193" spans="1:15" ht="15.75" x14ac:dyDescent="0.25">
      <c r="A193" s="211" t="s">
        <v>125</v>
      </c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4"/>
    </row>
    <row r="194" spans="1:15" ht="15.75" x14ac:dyDescent="0.25">
      <c r="A194" s="5" t="s">
        <v>46</v>
      </c>
      <c r="B194" s="208" t="s">
        <v>123</v>
      </c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208"/>
      <c r="N194" s="208"/>
      <c r="O194" s="4"/>
    </row>
    <row r="195" spans="1:15" ht="15.75" x14ac:dyDescent="0.25">
      <c r="A195" s="5" t="s">
        <v>47</v>
      </c>
      <c r="B195" s="175" t="s">
        <v>97</v>
      </c>
      <c r="C195" s="175"/>
      <c r="D195" s="175"/>
      <c r="E195" s="175"/>
      <c r="F195" s="175"/>
      <c r="G195" s="175"/>
      <c r="H195" s="175"/>
      <c r="I195" s="175"/>
      <c r="J195" s="175"/>
      <c r="K195" s="175"/>
      <c r="L195" s="174" t="s">
        <v>74</v>
      </c>
      <c r="M195" s="174"/>
      <c r="N195" s="34">
        <v>16419.386040679557</v>
      </c>
      <c r="O195" s="4"/>
    </row>
    <row r="196" spans="1:15" x14ac:dyDescent="0.25">
      <c r="A196" s="6" t="s">
        <v>21</v>
      </c>
      <c r="B196" s="7" t="s">
        <v>92</v>
      </c>
      <c r="C196" s="6" t="s">
        <v>22</v>
      </c>
      <c r="D196" s="7">
        <v>2020</v>
      </c>
      <c r="E196" s="194" t="s">
        <v>20</v>
      </c>
      <c r="F196" s="194"/>
      <c r="G196" s="194"/>
      <c r="H196" s="195" t="s">
        <v>124</v>
      </c>
      <c r="I196" s="196"/>
      <c r="J196" s="196"/>
      <c r="K196" s="196"/>
      <c r="L196" s="196"/>
      <c r="M196" s="196"/>
      <c r="N196" s="197"/>
      <c r="O196" s="4"/>
    </row>
    <row r="197" spans="1:15" x14ac:dyDescent="0.25">
      <c r="A197" s="198" t="s">
        <v>48</v>
      </c>
      <c r="B197" s="199"/>
      <c r="C197" s="200"/>
      <c r="D197" s="204" t="s">
        <v>49</v>
      </c>
      <c r="E197" s="205"/>
      <c r="F197" s="205"/>
      <c r="G197" s="205"/>
      <c r="H197" s="206"/>
      <c r="I197" s="207" t="s">
        <v>50</v>
      </c>
      <c r="J197" s="207"/>
      <c r="K197" s="207"/>
      <c r="L197" s="207"/>
      <c r="M197" s="207"/>
      <c r="N197" s="207"/>
      <c r="O197" s="4"/>
    </row>
    <row r="198" spans="1:15" ht="30" x14ac:dyDescent="0.25">
      <c r="A198" s="201"/>
      <c r="B198" s="202"/>
      <c r="C198" s="203"/>
      <c r="D198" s="8" t="s">
        <v>51</v>
      </c>
      <c r="E198" s="8" t="s">
        <v>52</v>
      </c>
      <c r="F198" s="8" t="s">
        <v>53</v>
      </c>
      <c r="G198" s="8" t="s">
        <v>54</v>
      </c>
      <c r="H198" s="8" t="s">
        <v>55</v>
      </c>
      <c r="I198" s="33" t="s">
        <v>51</v>
      </c>
      <c r="J198" s="33" t="s">
        <v>52</v>
      </c>
      <c r="K198" s="33" t="s">
        <v>53</v>
      </c>
      <c r="L198" s="33" t="s">
        <v>54</v>
      </c>
      <c r="M198" s="201" t="s">
        <v>56</v>
      </c>
      <c r="N198" s="203"/>
      <c r="O198" s="4"/>
    </row>
    <row r="199" spans="1:15" x14ac:dyDescent="0.25">
      <c r="A199" s="181" t="s">
        <v>2</v>
      </c>
      <c r="B199" s="182"/>
      <c r="C199" s="183"/>
      <c r="D199" s="9" t="s">
        <v>57</v>
      </c>
      <c r="E199" s="9" t="s">
        <v>57</v>
      </c>
      <c r="F199" s="9" t="s">
        <v>57</v>
      </c>
      <c r="G199" s="9" t="s">
        <v>57</v>
      </c>
      <c r="H199" s="9"/>
      <c r="I199" s="15">
        <v>0</v>
      </c>
      <c r="J199" s="15">
        <v>0</v>
      </c>
      <c r="K199" s="15">
        <v>0</v>
      </c>
      <c r="L199" s="15">
        <v>0</v>
      </c>
      <c r="M199" s="190">
        <f>I199+J199+K199+L199</f>
        <v>0</v>
      </c>
      <c r="N199" s="191"/>
      <c r="O199" s="4"/>
    </row>
    <row r="200" spans="1:15" x14ac:dyDescent="0.25">
      <c r="A200" s="181" t="s">
        <v>3</v>
      </c>
      <c r="B200" s="182"/>
      <c r="C200" s="183"/>
      <c r="D200" s="9" t="s">
        <v>57</v>
      </c>
      <c r="E200" s="9" t="s">
        <v>57</v>
      </c>
      <c r="F200" s="9" t="s">
        <v>57</v>
      </c>
      <c r="G200" s="9" t="s">
        <v>57</v>
      </c>
      <c r="H200" s="9"/>
      <c r="I200" s="15">
        <v>0</v>
      </c>
      <c r="J200" s="15">
        <v>0</v>
      </c>
      <c r="K200" s="15">
        <v>0</v>
      </c>
      <c r="L200" s="15">
        <v>0</v>
      </c>
      <c r="M200" s="192">
        <f t="shared" ref="M200:M207" si="8">I200+J200+K200+L200</f>
        <v>0</v>
      </c>
      <c r="N200" s="193"/>
      <c r="O200" s="4"/>
    </row>
    <row r="201" spans="1:15" x14ac:dyDescent="0.25">
      <c r="A201" s="181" t="s">
        <v>4</v>
      </c>
      <c r="B201" s="182"/>
      <c r="C201" s="183"/>
      <c r="D201" s="9" t="s">
        <v>57</v>
      </c>
      <c r="E201" s="9" t="s">
        <v>57</v>
      </c>
      <c r="F201" s="9" t="s">
        <v>57</v>
      </c>
      <c r="G201" s="9" t="s">
        <v>57</v>
      </c>
      <c r="H201" s="9"/>
      <c r="I201" s="15">
        <v>0</v>
      </c>
      <c r="J201" s="15">
        <v>0</v>
      </c>
      <c r="K201" s="15">
        <v>0</v>
      </c>
      <c r="L201" s="15">
        <v>0</v>
      </c>
      <c r="M201" s="192">
        <f t="shared" si="8"/>
        <v>0</v>
      </c>
      <c r="N201" s="193"/>
      <c r="O201" s="4"/>
    </row>
    <row r="202" spans="1:15" x14ac:dyDescent="0.25">
      <c r="A202" s="181" t="s">
        <v>5</v>
      </c>
      <c r="B202" s="182"/>
      <c r="C202" s="183"/>
      <c r="D202" s="9" t="s">
        <v>57</v>
      </c>
      <c r="E202" s="9" t="s">
        <v>57</v>
      </c>
      <c r="F202" s="9" t="s">
        <v>57</v>
      </c>
      <c r="G202" s="9" t="s">
        <v>57</v>
      </c>
      <c r="H202" s="9"/>
      <c r="I202" s="15">
        <v>0</v>
      </c>
      <c r="J202" s="15">
        <v>0</v>
      </c>
      <c r="K202" s="15">
        <v>0</v>
      </c>
      <c r="L202" s="15">
        <v>0</v>
      </c>
      <c r="M202" s="192">
        <f t="shared" si="8"/>
        <v>0</v>
      </c>
      <c r="N202" s="193"/>
      <c r="O202" s="4"/>
    </row>
    <row r="203" spans="1:15" x14ac:dyDescent="0.25">
      <c r="A203" s="181" t="s">
        <v>6</v>
      </c>
      <c r="B203" s="182"/>
      <c r="C203" s="183"/>
      <c r="D203" s="9" t="s">
        <v>57</v>
      </c>
      <c r="E203" s="9" t="s">
        <v>57</v>
      </c>
      <c r="F203" s="9" t="s">
        <v>57</v>
      </c>
      <c r="G203" s="9" t="s">
        <v>57</v>
      </c>
      <c r="H203" s="9"/>
      <c r="I203" s="15">
        <v>0</v>
      </c>
      <c r="J203" s="15">
        <v>0</v>
      </c>
      <c r="K203" s="15">
        <v>0</v>
      </c>
      <c r="L203" s="15">
        <v>0</v>
      </c>
      <c r="M203" s="192">
        <f t="shared" si="8"/>
        <v>0</v>
      </c>
      <c r="N203" s="193"/>
      <c r="O203" s="4"/>
    </row>
    <row r="204" spans="1:15" x14ac:dyDescent="0.25">
      <c r="A204" s="181" t="s">
        <v>8</v>
      </c>
      <c r="B204" s="182"/>
      <c r="C204" s="183"/>
      <c r="D204" s="9" t="s">
        <v>57</v>
      </c>
      <c r="E204" s="9" t="s">
        <v>57</v>
      </c>
      <c r="F204" s="9" t="s">
        <v>57</v>
      </c>
      <c r="G204" s="9" t="s">
        <v>57</v>
      </c>
      <c r="H204" s="9"/>
      <c r="I204" s="15">
        <v>0</v>
      </c>
      <c r="J204" s="15">
        <v>0</v>
      </c>
      <c r="K204" s="15">
        <v>0</v>
      </c>
      <c r="L204" s="15">
        <v>0</v>
      </c>
      <c r="M204" s="192">
        <f t="shared" si="8"/>
        <v>0</v>
      </c>
      <c r="N204" s="193"/>
      <c r="O204" s="4"/>
    </row>
    <row r="205" spans="1:15" x14ac:dyDescent="0.25">
      <c r="A205" s="181" t="s">
        <v>38</v>
      </c>
      <c r="B205" s="182"/>
      <c r="C205" s="183"/>
      <c r="D205" s="9" t="s">
        <v>57</v>
      </c>
      <c r="E205" s="9" t="s">
        <v>57</v>
      </c>
      <c r="F205" s="9" t="s">
        <v>57</v>
      </c>
      <c r="G205" s="9" t="s">
        <v>57</v>
      </c>
      <c r="H205" s="9"/>
      <c r="I205" s="15">
        <v>0</v>
      </c>
      <c r="J205" s="15">
        <v>0</v>
      </c>
      <c r="K205" s="15">
        <v>0</v>
      </c>
      <c r="L205" s="15">
        <v>0</v>
      </c>
      <c r="M205" s="192">
        <f t="shared" si="8"/>
        <v>0</v>
      </c>
      <c r="N205" s="193"/>
      <c r="O205" s="4"/>
    </row>
    <row r="206" spans="1:15" x14ac:dyDescent="0.25">
      <c r="A206" s="181" t="s">
        <v>7</v>
      </c>
      <c r="B206" s="182"/>
      <c r="C206" s="183"/>
      <c r="D206" s="9" t="s">
        <v>57</v>
      </c>
      <c r="E206" s="9" t="s">
        <v>57</v>
      </c>
      <c r="F206" s="9" t="s">
        <v>57</v>
      </c>
      <c r="G206" s="9" t="s">
        <v>57</v>
      </c>
      <c r="H206" s="9"/>
      <c r="I206" s="15">
        <v>0</v>
      </c>
      <c r="J206" s="15">
        <v>0</v>
      </c>
      <c r="K206" s="15">
        <v>0</v>
      </c>
      <c r="L206" s="15">
        <v>0</v>
      </c>
      <c r="M206" s="192">
        <f t="shared" si="8"/>
        <v>0</v>
      </c>
      <c r="N206" s="193"/>
      <c r="O206" s="4"/>
    </row>
    <row r="207" spans="1:15" x14ac:dyDescent="0.25">
      <c r="A207" s="181" t="s">
        <v>90</v>
      </c>
      <c r="B207" s="182"/>
      <c r="C207" s="183"/>
      <c r="D207" s="9" t="s">
        <v>57</v>
      </c>
      <c r="E207" s="9" t="s">
        <v>57</v>
      </c>
      <c r="F207" s="9" t="s">
        <v>57</v>
      </c>
      <c r="G207" s="9" t="s">
        <v>57</v>
      </c>
      <c r="H207" s="9"/>
      <c r="I207" s="15">
        <v>0</v>
      </c>
      <c r="J207" s="15">
        <v>0</v>
      </c>
      <c r="K207" s="15">
        <v>0</v>
      </c>
      <c r="L207" s="15">
        <v>0</v>
      </c>
      <c r="M207" s="188">
        <f t="shared" si="8"/>
        <v>0</v>
      </c>
      <c r="N207" s="189"/>
      <c r="O207" s="4"/>
    </row>
    <row r="208" spans="1:15" x14ac:dyDescent="0.25">
      <c r="O208" s="4"/>
    </row>
    <row r="209" spans="1:15" ht="15.75" x14ac:dyDescent="0.25">
      <c r="A209" s="177" t="s">
        <v>58</v>
      </c>
      <c r="B209" s="177"/>
      <c r="C209" s="177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4"/>
    </row>
    <row r="210" spans="1:15" x14ac:dyDescent="0.25">
      <c r="A210" s="178"/>
      <c r="B210" s="179"/>
      <c r="C210" s="179"/>
      <c r="D210" s="179"/>
      <c r="E210" s="179"/>
      <c r="F210" s="179"/>
      <c r="G210" s="179"/>
      <c r="H210" s="179"/>
      <c r="I210" s="179"/>
      <c r="J210" s="179"/>
      <c r="K210" s="179"/>
      <c r="L210" s="179"/>
      <c r="M210" s="179"/>
      <c r="N210" s="180"/>
      <c r="O210" s="10">
        <f>A210</f>
        <v>0</v>
      </c>
    </row>
    <row r="211" spans="1:15" x14ac:dyDescent="0.25">
      <c r="A211" s="174" t="s">
        <v>59</v>
      </c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0"/>
    </row>
    <row r="212" spans="1:15" x14ac:dyDescent="0.25">
      <c r="A212" s="178"/>
      <c r="B212" s="179"/>
      <c r="C212" s="179"/>
      <c r="D212" s="179"/>
      <c r="E212" s="179"/>
      <c r="F212" s="179"/>
      <c r="G212" s="179"/>
      <c r="H212" s="179"/>
      <c r="I212" s="179"/>
      <c r="J212" s="179"/>
      <c r="K212" s="179"/>
      <c r="L212" s="179"/>
      <c r="M212" s="179"/>
      <c r="N212" s="180"/>
      <c r="O212" s="10">
        <f t="shared" ref="O212:O233" si="9">A212</f>
        <v>0</v>
      </c>
    </row>
    <row r="213" spans="1:15" x14ac:dyDescent="0.25">
      <c r="A213" s="176" t="s">
        <v>60</v>
      </c>
      <c r="B213" s="176"/>
      <c r="C213" s="176"/>
      <c r="D213" s="176"/>
      <c r="E213" s="176"/>
      <c r="F213" s="176"/>
      <c r="G213" s="176"/>
      <c r="H213" s="176"/>
      <c r="I213" s="176"/>
      <c r="J213" s="176"/>
      <c r="K213" s="176"/>
      <c r="L213" s="176"/>
      <c r="M213" s="176" t="s">
        <v>61</v>
      </c>
      <c r="N213" s="176"/>
      <c r="O213" s="10"/>
    </row>
    <row r="214" spans="1:15" x14ac:dyDescent="0.25">
      <c r="A214" s="176" t="s">
        <v>62</v>
      </c>
      <c r="B214" s="176"/>
      <c r="C214" s="176"/>
      <c r="D214" s="176"/>
      <c r="E214" s="176"/>
      <c r="F214" s="176"/>
      <c r="G214" s="176"/>
      <c r="H214" s="176"/>
      <c r="I214" s="176"/>
      <c r="J214" s="176"/>
      <c r="K214" s="176"/>
      <c r="L214" s="176"/>
      <c r="M214" s="176" t="s">
        <v>61</v>
      </c>
      <c r="N214" s="176"/>
      <c r="O214" s="10"/>
    </row>
    <row r="215" spans="1:15" x14ac:dyDescent="0.25">
      <c r="O215" s="10"/>
    </row>
    <row r="216" spans="1:15" ht="15.75" x14ac:dyDescent="0.25">
      <c r="A216" s="184" t="s">
        <v>63</v>
      </c>
      <c r="B216" s="185"/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6"/>
      <c r="O216" s="10"/>
    </row>
    <row r="217" spans="1:15" x14ac:dyDescent="0.25">
      <c r="A217" s="178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0">
        <f t="shared" si="9"/>
        <v>0</v>
      </c>
    </row>
    <row r="218" spans="1:15" x14ac:dyDescent="0.25">
      <c r="A218" s="174" t="s">
        <v>64</v>
      </c>
      <c r="B218" s="174"/>
      <c r="C218" s="174"/>
      <c r="D218" s="174"/>
      <c r="E218" s="174"/>
      <c r="F218" s="174"/>
      <c r="G218" s="174"/>
      <c r="H218" s="174"/>
      <c r="I218" s="174"/>
      <c r="J218" s="174"/>
      <c r="K218" s="174"/>
      <c r="L218" s="174"/>
      <c r="M218" s="174"/>
      <c r="N218" s="174"/>
      <c r="O218" s="10"/>
    </row>
    <row r="219" spans="1:15" x14ac:dyDescent="0.25">
      <c r="A219" s="178"/>
      <c r="B219" s="179"/>
      <c r="C219" s="179"/>
      <c r="D219" s="179"/>
      <c r="E219" s="179"/>
      <c r="F219" s="179"/>
      <c r="G219" s="179"/>
      <c r="H219" s="179"/>
      <c r="I219" s="179"/>
      <c r="J219" s="179"/>
      <c r="K219" s="179"/>
      <c r="L219" s="179"/>
      <c r="M219" s="179"/>
      <c r="N219" s="180"/>
      <c r="O219" s="10">
        <f t="shared" si="9"/>
        <v>0</v>
      </c>
    </row>
    <row r="220" spans="1:15" x14ac:dyDescent="0.25">
      <c r="A220" s="176" t="s">
        <v>60</v>
      </c>
      <c r="B220" s="176"/>
      <c r="C220" s="176"/>
      <c r="D220" s="176"/>
      <c r="E220" s="176"/>
      <c r="F220" s="176"/>
      <c r="G220" s="176"/>
      <c r="H220" s="176"/>
      <c r="I220" s="176"/>
      <c r="J220" s="176"/>
      <c r="K220" s="176"/>
      <c r="L220" s="176"/>
      <c r="M220" s="176" t="s">
        <v>61</v>
      </c>
      <c r="N220" s="176"/>
      <c r="O220" s="10"/>
    </row>
    <row r="221" spans="1:15" x14ac:dyDescent="0.25">
      <c r="A221" s="176" t="s">
        <v>62</v>
      </c>
      <c r="B221" s="176"/>
      <c r="C221" s="176"/>
      <c r="D221" s="176"/>
      <c r="E221" s="176"/>
      <c r="F221" s="176"/>
      <c r="G221" s="176"/>
      <c r="H221" s="176"/>
      <c r="I221" s="176"/>
      <c r="J221" s="176"/>
      <c r="K221" s="176"/>
      <c r="L221" s="176"/>
      <c r="M221" s="176" t="s">
        <v>61</v>
      </c>
      <c r="N221" s="176"/>
      <c r="O221" s="10"/>
    </row>
    <row r="222" spans="1:15" x14ac:dyDescent="0.25">
      <c r="O222" s="10"/>
    </row>
    <row r="223" spans="1:15" ht="15.75" x14ac:dyDescent="0.25">
      <c r="A223" s="177" t="s">
        <v>65</v>
      </c>
      <c r="B223" s="177"/>
      <c r="C223" s="177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0"/>
    </row>
    <row r="224" spans="1:15" x14ac:dyDescent="0.25">
      <c r="A224" s="178"/>
      <c r="B224" s="179"/>
      <c r="C224" s="179"/>
      <c r="D224" s="179"/>
      <c r="E224" s="179"/>
      <c r="F224" s="179"/>
      <c r="G224" s="179"/>
      <c r="H224" s="179"/>
      <c r="I224" s="179"/>
      <c r="J224" s="179"/>
      <c r="K224" s="179"/>
      <c r="L224" s="179"/>
      <c r="M224" s="179"/>
      <c r="N224" s="180"/>
      <c r="O224" s="10">
        <f t="shared" si="9"/>
        <v>0</v>
      </c>
    </row>
    <row r="225" spans="1:15" x14ac:dyDescent="0.25">
      <c r="A225" s="174" t="s">
        <v>66</v>
      </c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0"/>
    </row>
    <row r="226" spans="1:15" x14ac:dyDescent="0.25">
      <c r="A226" s="178"/>
      <c r="B226" s="179"/>
      <c r="C226" s="179"/>
      <c r="D226" s="179"/>
      <c r="E226" s="179"/>
      <c r="F226" s="179"/>
      <c r="G226" s="179"/>
      <c r="H226" s="179"/>
      <c r="I226" s="179"/>
      <c r="J226" s="179"/>
      <c r="K226" s="179"/>
      <c r="L226" s="179"/>
      <c r="M226" s="179"/>
      <c r="N226" s="180"/>
      <c r="O226" s="10">
        <f t="shared" si="9"/>
        <v>0</v>
      </c>
    </row>
    <row r="227" spans="1:15" x14ac:dyDescent="0.25">
      <c r="A227" s="187" t="s">
        <v>60</v>
      </c>
      <c r="B227" s="187"/>
      <c r="C227" s="187"/>
      <c r="D227" s="187"/>
      <c r="E227" s="187"/>
      <c r="F227" s="187"/>
      <c r="G227" s="187"/>
      <c r="H227" s="187"/>
      <c r="I227" s="187"/>
      <c r="J227" s="187"/>
      <c r="K227" s="187"/>
      <c r="L227" s="187"/>
      <c r="M227" s="176" t="s">
        <v>61</v>
      </c>
      <c r="N227" s="176"/>
      <c r="O227" s="10"/>
    </row>
    <row r="228" spans="1:15" x14ac:dyDescent="0.25">
      <c r="A228" s="187" t="s">
        <v>62</v>
      </c>
      <c r="B228" s="187"/>
      <c r="C228" s="187"/>
      <c r="D228" s="187"/>
      <c r="E228" s="187"/>
      <c r="F228" s="187"/>
      <c r="G228" s="187"/>
      <c r="H228" s="187"/>
      <c r="I228" s="187"/>
      <c r="J228" s="187"/>
      <c r="K228" s="187"/>
      <c r="L228" s="187"/>
      <c r="M228" s="176" t="s">
        <v>61</v>
      </c>
      <c r="N228" s="176"/>
      <c r="O228" s="10"/>
    </row>
    <row r="229" spans="1:15" x14ac:dyDescent="0.25">
      <c r="O229" s="10"/>
    </row>
    <row r="230" spans="1:15" ht="15.75" x14ac:dyDescent="0.25">
      <c r="A230" s="184" t="s">
        <v>67</v>
      </c>
      <c r="B230" s="185"/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6"/>
      <c r="O230" s="10"/>
    </row>
    <row r="231" spans="1:15" x14ac:dyDescent="0.25">
      <c r="A231" s="178"/>
      <c r="B231" s="179"/>
      <c r="C231" s="179"/>
      <c r="D231" s="179"/>
      <c r="E231" s="179"/>
      <c r="F231" s="179"/>
      <c r="G231" s="179"/>
      <c r="H231" s="179"/>
      <c r="I231" s="179"/>
      <c r="J231" s="179"/>
      <c r="K231" s="179"/>
      <c r="L231" s="179"/>
      <c r="M231" s="179"/>
      <c r="N231" s="180"/>
      <c r="O231" s="10">
        <f t="shared" si="9"/>
        <v>0</v>
      </c>
    </row>
    <row r="232" spans="1:15" x14ac:dyDescent="0.25">
      <c r="A232" s="174" t="s">
        <v>68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0"/>
    </row>
    <row r="233" spans="1:15" x14ac:dyDescent="0.25">
      <c r="A233" s="178"/>
      <c r="B233" s="179"/>
      <c r="C233" s="179"/>
      <c r="D233" s="179"/>
      <c r="E233" s="179"/>
      <c r="F233" s="179"/>
      <c r="G233" s="179"/>
      <c r="H233" s="179"/>
      <c r="I233" s="179"/>
      <c r="J233" s="179"/>
      <c r="K233" s="179"/>
      <c r="L233" s="179"/>
      <c r="M233" s="179"/>
      <c r="N233" s="180"/>
      <c r="O233" s="10">
        <f t="shared" si="9"/>
        <v>0</v>
      </c>
    </row>
    <row r="234" spans="1:15" x14ac:dyDescent="0.25">
      <c r="A234" s="176" t="s">
        <v>60</v>
      </c>
      <c r="B234" s="176"/>
      <c r="C234" s="176"/>
      <c r="D234" s="176"/>
      <c r="E234" s="176"/>
      <c r="F234" s="176"/>
      <c r="G234" s="176"/>
      <c r="H234" s="176"/>
      <c r="I234" s="176"/>
      <c r="J234" s="176"/>
      <c r="K234" s="176"/>
      <c r="L234" s="176"/>
      <c r="M234" s="176" t="s">
        <v>61</v>
      </c>
      <c r="N234" s="176"/>
      <c r="O234" s="10"/>
    </row>
    <row r="235" spans="1:15" x14ac:dyDescent="0.25">
      <c r="A235" s="176" t="s">
        <v>62</v>
      </c>
      <c r="B235" s="176"/>
      <c r="C235" s="176"/>
      <c r="D235" s="176"/>
      <c r="E235" s="176"/>
      <c r="F235" s="176"/>
      <c r="G235" s="176"/>
      <c r="H235" s="176"/>
      <c r="I235" s="176"/>
      <c r="J235" s="176"/>
      <c r="K235" s="176"/>
      <c r="L235" s="176"/>
      <c r="M235" s="176" t="s">
        <v>61</v>
      </c>
      <c r="N235" s="176"/>
      <c r="O235" s="10"/>
    </row>
    <row r="236" spans="1:15" x14ac:dyDescent="0.25">
      <c r="A236" s="209" t="s">
        <v>91</v>
      </c>
      <c r="B236" s="209"/>
      <c r="C236" s="209"/>
      <c r="D236" s="209"/>
      <c r="E236" s="209"/>
      <c r="F236" s="209"/>
      <c r="G236" s="209"/>
      <c r="H236" s="209"/>
      <c r="I236" s="209"/>
      <c r="J236" s="209"/>
      <c r="K236" s="209"/>
      <c r="L236" s="209"/>
      <c r="M236" s="209"/>
      <c r="N236" s="209"/>
      <c r="O236" s="4"/>
    </row>
    <row r="237" spans="1:15" x14ac:dyDescent="0.25">
      <c r="A237" s="209" t="s">
        <v>89</v>
      </c>
      <c r="B237" s="209"/>
      <c r="C237" s="209"/>
      <c r="D237" s="209"/>
      <c r="E237" s="209"/>
      <c r="F237" s="209"/>
      <c r="G237" s="209"/>
      <c r="H237" s="209"/>
      <c r="I237" s="209"/>
      <c r="J237" s="209"/>
      <c r="K237" s="209"/>
      <c r="L237" s="209"/>
      <c r="M237" s="209"/>
      <c r="N237" s="209"/>
      <c r="O237" s="4"/>
    </row>
    <row r="238" spans="1:15" x14ac:dyDescent="0.25">
      <c r="A238" s="209" t="s">
        <v>44</v>
      </c>
      <c r="B238" s="209"/>
      <c r="C238" s="209"/>
      <c r="D238" s="209"/>
      <c r="E238" s="209"/>
      <c r="F238" s="209"/>
      <c r="G238" s="209"/>
      <c r="H238" s="209"/>
      <c r="I238" s="209"/>
      <c r="J238" s="209"/>
      <c r="K238" s="209"/>
      <c r="L238" s="209"/>
      <c r="M238" s="209"/>
      <c r="N238" s="209"/>
      <c r="O238" s="4"/>
    </row>
    <row r="239" spans="1:15" ht="15.75" x14ac:dyDescent="0.25">
      <c r="A239" s="210" t="s">
        <v>72</v>
      </c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0"/>
      <c r="M239" s="210"/>
      <c r="N239" s="210"/>
      <c r="O239" s="4"/>
    </row>
    <row r="240" spans="1:15" ht="15.75" x14ac:dyDescent="0.25">
      <c r="A240" s="211" t="s">
        <v>125</v>
      </c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4"/>
    </row>
    <row r="241" spans="1:15" ht="15.75" x14ac:dyDescent="0.25">
      <c r="A241" s="5" t="s">
        <v>46</v>
      </c>
      <c r="B241" s="208" t="s">
        <v>123</v>
      </c>
      <c r="C241" s="208"/>
      <c r="D241" s="208"/>
      <c r="E241" s="208"/>
      <c r="F241" s="208"/>
      <c r="G241" s="208"/>
      <c r="H241" s="208"/>
      <c r="I241" s="208"/>
      <c r="J241" s="208"/>
      <c r="K241" s="208"/>
      <c r="L241" s="208"/>
      <c r="M241" s="208"/>
      <c r="N241" s="208"/>
      <c r="O241" s="4"/>
    </row>
    <row r="242" spans="1:15" ht="15.75" x14ac:dyDescent="0.25">
      <c r="A242" s="5" t="s">
        <v>47</v>
      </c>
      <c r="B242" s="175" t="s">
        <v>98</v>
      </c>
      <c r="C242" s="175"/>
      <c r="D242" s="175"/>
      <c r="E242" s="175"/>
      <c r="F242" s="175"/>
      <c r="G242" s="175"/>
      <c r="H242" s="175"/>
      <c r="I242" s="175"/>
      <c r="J242" s="175"/>
      <c r="K242" s="175"/>
      <c r="L242" s="174" t="s">
        <v>74</v>
      </c>
      <c r="M242" s="174"/>
      <c r="N242" s="34">
        <v>3871.0968480731112</v>
      </c>
      <c r="O242" s="4"/>
    </row>
    <row r="243" spans="1:15" x14ac:dyDescent="0.25">
      <c r="A243" s="6" t="s">
        <v>21</v>
      </c>
      <c r="B243" s="7" t="s">
        <v>92</v>
      </c>
      <c r="C243" s="6" t="s">
        <v>22</v>
      </c>
      <c r="D243" s="7">
        <v>2020</v>
      </c>
      <c r="E243" s="194" t="s">
        <v>20</v>
      </c>
      <c r="F243" s="194"/>
      <c r="G243" s="194"/>
      <c r="H243" s="195" t="s">
        <v>124</v>
      </c>
      <c r="I243" s="196"/>
      <c r="J243" s="196"/>
      <c r="K243" s="196"/>
      <c r="L243" s="196"/>
      <c r="M243" s="196"/>
      <c r="N243" s="197"/>
      <c r="O243" s="4"/>
    </row>
    <row r="244" spans="1:15" x14ac:dyDescent="0.25">
      <c r="A244" s="198" t="s">
        <v>48</v>
      </c>
      <c r="B244" s="199"/>
      <c r="C244" s="200"/>
      <c r="D244" s="204" t="s">
        <v>49</v>
      </c>
      <c r="E244" s="205"/>
      <c r="F244" s="205"/>
      <c r="G244" s="205"/>
      <c r="H244" s="206"/>
      <c r="I244" s="207" t="s">
        <v>50</v>
      </c>
      <c r="J244" s="207"/>
      <c r="K244" s="207"/>
      <c r="L244" s="207"/>
      <c r="M244" s="207"/>
      <c r="N244" s="207"/>
      <c r="O244" s="4"/>
    </row>
    <row r="245" spans="1:15" ht="30" x14ac:dyDescent="0.25">
      <c r="A245" s="201"/>
      <c r="B245" s="202"/>
      <c r="C245" s="203"/>
      <c r="D245" s="8" t="s">
        <v>51</v>
      </c>
      <c r="E245" s="8" t="s">
        <v>52</v>
      </c>
      <c r="F245" s="8" t="s">
        <v>53</v>
      </c>
      <c r="G245" s="8" t="s">
        <v>54</v>
      </c>
      <c r="H245" s="8" t="s">
        <v>55</v>
      </c>
      <c r="I245" s="33" t="s">
        <v>51</v>
      </c>
      <c r="J245" s="33" t="s">
        <v>52</v>
      </c>
      <c r="K245" s="33" t="s">
        <v>53</v>
      </c>
      <c r="L245" s="33" t="s">
        <v>54</v>
      </c>
      <c r="M245" s="201" t="s">
        <v>56</v>
      </c>
      <c r="N245" s="203"/>
      <c r="O245" s="4"/>
    </row>
    <row r="246" spans="1:15" x14ac:dyDescent="0.25">
      <c r="A246" s="181" t="s">
        <v>2</v>
      </c>
      <c r="B246" s="182"/>
      <c r="C246" s="183"/>
      <c r="D246" s="9" t="s">
        <v>57</v>
      </c>
      <c r="E246" s="9" t="s">
        <v>57</v>
      </c>
      <c r="F246" s="9" t="s">
        <v>57</v>
      </c>
      <c r="G246" s="9" t="s">
        <v>57</v>
      </c>
      <c r="H246" s="9"/>
      <c r="I246" s="15">
        <v>0</v>
      </c>
      <c r="J246" s="15">
        <v>0</v>
      </c>
      <c r="K246" s="15">
        <v>0</v>
      </c>
      <c r="L246" s="15">
        <v>0</v>
      </c>
      <c r="M246" s="190">
        <f>I246+J246+K246+L246</f>
        <v>0</v>
      </c>
      <c r="N246" s="191"/>
      <c r="O246" s="4"/>
    </row>
    <row r="247" spans="1:15" x14ac:dyDescent="0.25">
      <c r="A247" s="181" t="s">
        <v>3</v>
      </c>
      <c r="B247" s="182"/>
      <c r="C247" s="183"/>
      <c r="D247" s="9" t="s">
        <v>57</v>
      </c>
      <c r="E247" s="9" t="s">
        <v>57</v>
      </c>
      <c r="F247" s="9" t="s">
        <v>57</v>
      </c>
      <c r="G247" s="9" t="s">
        <v>57</v>
      </c>
      <c r="H247" s="9"/>
      <c r="I247" s="15">
        <v>0</v>
      </c>
      <c r="J247" s="15">
        <v>0</v>
      </c>
      <c r="K247" s="15">
        <v>0</v>
      </c>
      <c r="L247" s="15">
        <v>0</v>
      </c>
      <c r="M247" s="192">
        <f t="shared" ref="M247:M254" si="10">I247+J247+K247+L247</f>
        <v>0</v>
      </c>
      <c r="N247" s="193"/>
      <c r="O247" s="4"/>
    </row>
    <row r="248" spans="1:15" x14ac:dyDescent="0.25">
      <c r="A248" s="181" t="s">
        <v>4</v>
      </c>
      <c r="B248" s="182"/>
      <c r="C248" s="183"/>
      <c r="D248" s="9" t="s">
        <v>57</v>
      </c>
      <c r="E248" s="9" t="s">
        <v>57</v>
      </c>
      <c r="F248" s="9" t="s">
        <v>57</v>
      </c>
      <c r="G248" s="9" t="s">
        <v>57</v>
      </c>
      <c r="H248" s="9"/>
      <c r="I248" s="15">
        <v>0</v>
      </c>
      <c r="J248" s="15">
        <v>0</v>
      </c>
      <c r="K248" s="15">
        <v>0</v>
      </c>
      <c r="L248" s="15">
        <v>0</v>
      </c>
      <c r="M248" s="192">
        <f t="shared" si="10"/>
        <v>0</v>
      </c>
      <c r="N248" s="193"/>
      <c r="O248" s="4"/>
    </row>
    <row r="249" spans="1:15" x14ac:dyDescent="0.25">
      <c r="A249" s="181" t="s">
        <v>5</v>
      </c>
      <c r="B249" s="182"/>
      <c r="C249" s="183"/>
      <c r="D249" s="9" t="s">
        <v>57</v>
      </c>
      <c r="E249" s="9" t="s">
        <v>57</v>
      </c>
      <c r="F249" s="9" t="s">
        <v>57</v>
      </c>
      <c r="G249" s="9" t="s">
        <v>57</v>
      </c>
      <c r="H249" s="9"/>
      <c r="I249" s="15">
        <v>0</v>
      </c>
      <c r="J249" s="15">
        <v>0</v>
      </c>
      <c r="K249" s="15">
        <v>0</v>
      </c>
      <c r="L249" s="15">
        <v>0</v>
      </c>
      <c r="M249" s="192">
        <f t="shared" si="10"/>
        <v>0</v>
      </c>
      <c r="N249" s="193"/>
      <c r="O249" s="4"/>
    </row>
    <row r="250" spans="1:15" x14ac:dyDescent="0.25">
      <c r="A250" s="181" t="s">
        <v>6</v>
      </c>
      <c r="B250" s="182"/>
      <c r="C250" s="183"/>
      <c r="D250" s="9" t="s">
        <v>57</v>
      </c>
      <c r="E250" s="9" t="s">
        <v>57</v>
      </c>
      <c r="F250" s="9" t="s">
        <v>57</v>
      </c>
      <c r="G250" s="9" t="s">
        <v>57</v>
      </c>
      <c r="H250" s="9"/>
      <c r="I250" s="15">
        <v>0</v>
      </c>
      <c r="J250" s="15">
        <v>0</v>
      </c>
      <c r="K250" s="15">
        <v>0</v>
      </c>
      <c r="L250" s="15">
        <v>0</v>
      </c>
      <c r="M250" s="192">
        <f t="shared" si="10"/>
        <v>0</v>
      </c>
      <c r="N250" s="193"/>
      <c r="O250" s="4"/>
    </row>
    <row r="251" spans="1:15" x14ac:dyDescent="0.25">
      <c r="A251" s="181" t="s">
        <v>8</v>
      </c>
      <c r="B251" s="182"/>
      <c r="C251" s="183"/>
      <c r="D251" s="9" t="s">
        <v>57</v>
      </c>
      <c r="E251" s="9" t="s">
        <v>57</v>
      </c>
      <c r="F251" s="9" t="s">
        <v>57</v>
      </c>
      <c r="G251" s="9" t="s">
        <v>57</v>
      </c>
      <c r="H251" s="9"/>
      <c r="I251" s="15">
        <v>0</v>
      </c>
      <c r="J251" s="15">
        <v>0</v>
      </c>
      <c r="K251" s="15">
        <v>0</v>
      </c>
      <c r="L251" s="15">
        <v>0</v>
      </c>
      <c r="M251" s="192">
        <f t="shared" si="10"/>
        <v>0</v>
      </c>
      <c r="N251" s="193"/>
      <c r="O251" s="4"/>
    </row>
    <row r="252" spans="1:15" x14ac:dyDescent="0.25">
      <c r="A252" s="181" t="s">
        <v>38</v>
      </c>
      <c r="B252" s="182"/>
      <c r="C252" s="183"/>
      <c r="D252" s="9" t="s">
        <v>57</v>
      </c>
      <c r="E252" s="9" t="s">
        <v>57</v>
      </c>
      <c r="F252" s="9" t="s">
        <v>57</v>
      </c>
      <c r="G252" s="9" t="s">
        <v>57</v>
      </c>
      <c r="H252" s="9"/>
      <c r="I252" s="15">
        <v>0</v>
      </c>
      <c r="J252" s="15">
        <v>0</v>
      </c>
      <c r="K252" s="15">
        <v>0</v>
      </c>
      <c r="L252" s="15">
        <v>0</v>
      </c>
      <c r="M252" s="192">
        <f t="shared" si="10"/>
        <v>0</v>
      </c>
      <c r="N252" s="193"/>
      <c r="O252" s="4"/>
    </row>
    <row r="253" spans="1:15" x14ac:dyDescent="0.25">
      <c r="A253" s="181" t="s">
        <v>7</v>
      </c>
      <c r="B253" s="182"/>
      <c r="C253" s="183"/>
      <c r="D253" s="9" t="s">
        <v>57</v>
      </c>
      <c r="E253" s="9" t="s">
        <v>57</v>
      </c>
      <c r="F253" s="9" t="s">
        <v>57</v>
      </c>
      <c r="G253" s="9" t="s">
        <v>57</v>
      </c>
      <c r="H253" s="9"/>
      <c r="I253" s="15">
        <v>0</v>
      </c>
      <c r="J253" s="15">
        <v>0</v>
      </c>
      <c r="K253" s="15">
        <v>0</v>
      </c>
      <c r="L253" s="15">
        <v>0</v>
      </c>
      <c r="M253" s="192">
        <f t="shared" si="10"/>
        <v>0</v>
      </c>
      <c r="N253" s="193"/>
      <c r="O253" s="4"/>
    </row>
    <row r="254" spans="1:15" x14ac:dyDescent="0.25">
      <c r="A254" s="181" t="s">
        <v>90</v>
      </c>
      <c r="B254" s="182"/>
      <c r="C254" s="183"/>
      <c r="D254" s="9" t="s">
        <v>57</v>
      </c>
      <c r="E254" s="9" t="s">
        <v>57</v>
      </c>
      <c r="F254" s="9" t="s">
        <v>57</v>
      </c>
      <c r="G254" s="9" t="s">
        <v>57</v>
      </c>
      <c r="H254" s="9"/>
      <c r="I254" s="15">
        <v>0</v>
      </c>
      <c r="J254" s="15">
        <v>0</v>
      </c>
      <c r="K254" s="15">
        <v>0</v>
      </c>
      <c r="L254" s="15">
        <v>0</v>
      </c>
      <c r="M254" s="188">
        <f t="shared" si="10"/>
        <v>0</v>
      </c>
      <c r="N254" s="189"/>
      <c r="O254" s="4"/>
    </row>
    <row r="255" spans="1:15" x14ac:dyDescent="0.25">
      <c r="O255" s="4"/>
    </row>
    <row r="256" spans="1:15" ht="15.75" x14ac:dyDescent="0.25">
      <c r="A256" s="177" t="s">
        <v>58</v>
      </c>
      <c r="B256" s="177"/>
      <c r="C256" s="177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4"/>
    </row>
    <row r="257" spans="1:15" x14ac:dyDescent="0.25">
      <c r="A257" s="178"/>
      <c r="B257" s="179"/>
      <c r="C257" s="179"/>
      <c r="D257" s="179"/>
      <c r="E257" s="179"/>
      <c r="F257" s="179"/>
      <c r="G257" s="179"/>
      <c r="H257" s="179"/>
      <c r="I257" s="179"/>
      <c r="J257" s="179"/>
      <c r="K257" s="179"/>
      <c r="L257" s="179"/>
      <c r="M257" s="179"/>
      <c r="N257" s="180"/>
      <c r="O257" s="10">
        <f>A257</f>
        <v>0</v>
      </c>
    </row>
    <row r="258" spans="1:15" x14ac:dyDescent="0.25">
      <c r="A258" s="174" t="s">
        <v>59</v>
      </c>
      <c r="B258" s="174"/>
      <c r="C258" s="174"/>
      <c r="D258" s="174"/>
      <c r="E258" s="174"/>
      <c r="F258" s="174"/>
      <c r="G258" s="174"/>
      <c r="H258" s="174"/>
      <c r="I258" s="174"/>
      <c r="J258" s="174"/>
      <c r="K258" s="174"/>
      <c r="L258" s="174"/>
      <c r="M258" s="174"/>
      <c r="N258" s="174"/>
      <c r="O258" s="10"/>
    </row>
    <row r="259" spans="1:15" x14ac:dyDescent="0.25">
      <c r="A259" s="178"/>
      <c r="B259" s="179"/>
      <c r="C259" s="179"/>
      <c r="D259" s="179"/>
      <c r="E259" s="179"/>
      <c r="F259" s="179"/>
      <c r="G259" s="179"/>
      <c r="H259" s="179"/>
      <c r="I259" s="179"/>
      <c r="J259" s="179"/>
      <c r="K259" s="179"/>
      <c r="L259" s="179"/>
      <c r="M259" s="179"/>
      <c r="N259" s="180"/>
      <c r="O259" s="10">
        <f t="shared" ref="O259:O280" si="11">A259</f>
        <v>0</v>
      </c>
    </row>
    <row r="260" spans="1:15" x14ac:dyDescent="0.25">
      <c r="A260" s="176" t="s">
        <v>60</v>
      </c>
      <c r="B260" s="176"/>
      <c r="C260" s="176"/>
      <c r="D260" s="176"/>
      <c r="E260" s="176"/>
      <c r="F260" s="176"/>
      <c r="G260" s="176"/>
      <c r="H260" s="176"/>
      <c r="I260" s="176"/>
      <c r="J260" s="176"/>
      <c r="K260" s="176"/>
      <c r="L260" s="176"/>
      <c r="M260" s="176" t="s">
        <v>61</v>
      </c>
      <c r="N260" s="176"/>
      <c r="O260" s="10"/>
    </row>
    <row r="261" spans="1:15" x14ac:dyDescent="0.25">
      <c r="A261" s="176" t="s">
        <v>62</v>
      </c>
      <c r="B261" s="176"/>
      <c r="C261" s="176"/>
      <c r="D261" s="176"/>
      <c r="E261" s="176"/>
      <c r="F261" s="176"/>
      <c r="G261" s="176"/>
      <c r="H261" s="176"/>
      <c r="I261" s="176"/>
      <c r="J261" s="176"/>
      <c r="K261" s="176"/>
      <c r="L261" s="176"/>
      <c r="M261" s="176" t="s">
        <v>61</v>
      </c>
      <c r="N261" s="176"/>
      <c r="O261" s="10"/>
    </row>
    <row r="262" spans="1:15" x14ac:dyDescent="0.25">
      <c r="O262" s="10"/>
    </row>
    <row r="263" spans="1:15" ht="15.75" x14ac:dyDescent="0.25">
      <c r="A263" s="184" t="s">
        <v>63</v>
      </c>
      <c r="B263" s="185"/>
      <c r="C263" s="185"/>
      <c r="D263" s="185"/>
      <c r="E263" s="185"/>
      <c r="F263" s="185"/>
      <c r="G263" s="185"/>
      <c r="H263" s="185"/>
      <c r="I263" s="185"/>
      <c r="J263" s="185"/>
      <c r="K263" s="185"/>
      <c r="L263" s="185"/>
      <c r="M263" s="185"/>
      <c r="N263" s="186"/>
      <c r="O263" s="10"/>
    </row>
    <row r="264" spans="1:15" x14ac:dyDescent="0.25">
      <c r="A264" s="178"/>
      <c r="B264" s="179"/>
      <c r="C264" s="179"/>
      <c r="D264" s="179"/>
      <c r="E264" s="179"/>
      <c r="F264" s="179"/>
      <c r="G264" s="179"/>
      <c r="H264" s="179"/>
      <c r="I264" s="179"/>
      <c r="J264" s="179"/>
      <c r="K264" s="179"/>
      <c r="L264" s="179"/>
      <c r="M264" s="179"/>
      <c r="N264" s="179"/>
      <c r="O264" s="10">
        <f t="shared" si="11"/>
        <v>0</v>
      </c>
    </row>
    <row r="265" spans="1:15" x14ac:dyDescent="0.25">
      <c r="A265" s="174" t="s">
        <v>64</v>
      </c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0"/>
    </row>
    <row r="266" spans="1:15" x14ac:dyDescent="0.25">
      <c r="A266" s="178"/>
      <c r="B266" s="179"/>
      <c r="C266" s="179"/>
      <c r="D266" s="179"/>
      <c r="E266" s="179"/>
      <c r="F266" s="179"/>
      <c r="G266" s="179"/>
      <c r="H266" s="179"/>
      <c r="I266" s="179"/>
      <c r="J266" s="179"/>
      <c r="K266" s="179"/>
      <c r="L266" s="179"/>
      <c r="M266" s="179"/>
      <c r="N266" s="180"/>
      <c r="O266" s="10">
        <f t="shared" si="11"/>
        <v>0</v>
      </c>
    </row>
    <row r="267" spans="1:15" x14ac:dyDescent="0.25">
      <c r="A267" s="176" t="s">
        <v>60</v>
      </c>
      <c r="B267" s="176"/>
      <c r="C267" s="176"/>
      <c r="D267" s="176"/>
      <c r="E267" s="176"/>
      <c r="F267" s="176"/>
      <c r="G267" s="176"/>
      <c r="H267" s="176"/>
      <c r="I267" s="176"/>
      <c r="J267" s="176"/>
      <c r="K267" s="176"/>
      <c r="L267" s="176"/>
      <c r="M267" s="176" t="s">
        <v>61</v>
      </c>
      <c r="N267" s="176"/>
      <c r="O267" s="10"/>
    </row>
    <row r="268" spans="1:15" x14ac:dyDescent="0.25">
      <c r="A268" s="176" t="s">
        <v>62</v>
      </c>
      <c r="B268" s="176"/>
      <c r="C268" s="176"/>
      <c r="D268" s="176"/>
      <c r="E268" s="176"/>
      <c r="F268" s="176"/>
      <c r="G268" s="176"/>
      <c r="H268" s="176"/>
      <c r="I268" s="176"/>
      <c r="J268" s="176"/>
      <c r="K268" s="176"/>
      <c r="L268" s="176"/>
      <c r="M268" s="176" t="s">
        <v>61</v>
      </c>
      <c r="N268" s="176"/>
      <c r="O268" s="10"/>
    </row>
    <row r="269" spans="1:15" x14ac:dyDescent="0.25">
      <c r="O269" s="10"/>
    </row>
    <row r="270" spans="1:15" ht="15.75" x14ac:dyDescent="0.25">
      <c r="A270" s="177" t="s">
        <v>65</v>
      </c>
      <c r="B270" s="177"/>
      <c r="C270" s="177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0"/>
    </row>
    <row r="271" spans="1:15" x14ac:dyDescent="0.25">
      <c r="A271" s="178"/>
      <c r="B271" s="179"/>
      <c r="C271" s="179"/>
      <c r="D271" s="179"/>
      <c r="E271" s="179"/>
      <c r="F271" s="179"/>
      <c r="G271" s="179"/>
      <c r="H271" s="179"/>
      <c r="I271" s="179"/>
      <c r="J271" s="179"/>
      <c r="K271" s="179"/>
      <c r="L271" s="179"/>
      <c r="M271" s="179"/>
      <c r="N271" s="180"/>
      <c r="O271" s="10">
        <f t="shared" si="11"/>
        <v>0</v>
      </c>
    </row>
    <row r="272" spans="1:15" x14ac:dyDescent="0.25">
      <c r="A272" s="174" t="s">
        <v>66</v>
      </c>
      <c r="B272" s="174"/>
      <c r="C272" s="174"/>
      <c r="D272" s="174"/>
      <c r="E272" s="174"/>
      <c r="F272" s="174"/>
      <c r="G272" s="174"/>
      <c r="H272" s="174"/>
      <c r="I272" s="174"/>
      <c r="J272" s="174"/>
      <c r="K272" s="174"/>
      <c r="L272" s="174"/>
      <c r="M272" s="174"/>
      <c r="N272" s="174"/>
      <c r="O272" s="10"/>
    </row>
    <row r="273" spans="1:15" x14ac:dyDescent="0.25">
      <c r="A273" s="178"/>
      <c r="B273" s="179"/>
      <c r="C273" s="179"/>
      <c r="D273" s="179"/>
      <c r="E273" s="179"/>
      <c r="F273" s="179"/>
      <c r="G273" s="179"/>
      <c r="H273" s="179"/>
      <c r="I273" s="179"/>
      <c r="J273" s="179"/>
      <c r="K273" s="179"/>
      <c r="L273" s="179"/>
      <c r="M273" s="179"/>
      <c r="N273" s="180"/>
      <c r="O273" s="10">
        <f t="shared" si="11"/>
        <v>0</v>
      </c>
    </row>
    <row r="274" spans="1:15" x14ac:dyDescent="0.25">
      <c r="A274" s="187" t="s">
        <v>60</v>
      </c>
      <c r="B274" s="187"/>
      <c r="C274" s="187"/>
      <c r="D274" s="187"/>
      <c r="E274" s="187"/>
      <c r="F274" s="187"/>
      <c r="G274" s="187"/>
      <c r="H274" s="187"/>
      <c r="I274" s="187"/>
      <c r="J274" s="187"/>
      <c r="K274" s="187"/>
      <c r="L274" s="187"/>
      <c r="M274" s="176" t="s">
        <v>61</v>
      </c>
      <c r="N274" s="176"/>
      <c r="O274" s="10"/>
    </row>
    <row r="275" spans="1:15" x14ac:dyDescent="0.25">
      <c r="A275" s="187" t="s">
        <v>62</v>
      </c>
      <c r="B275" s="187"/>
      <c r="C275" s="187"/>
      <c r="D275" s="187"/>
      <c r="E275" s="187"/>
      <c r="F275" s="187"/>
      <c r="G275" s="187"/>
      <c r="H275" s="187"/>
      <c r="I275" s="187"/>
      <c r="J275" s="187"/>
      <c r="K275" s="187"/>
      <c r="L275" s="187"/>
      <c r="M275" s="176" t="s">
        <v>61</v>
      </c>
      <c r="N275" s="176"/>
      <c r="O275" s="10"/>
    </row>
    <row r="276" spans="1:15" x14ac:dyDescent="0.25">
      <c r="O276" s="10"/>
    </row>
    <row r="277" spans="1:15" ht="15.75" x14ac:dyDescent="0.25">
      <c r="A277" s="184" t="s">
        <v>67</v>
      </c>
      <c r="B277" s="185"/>
      <c r="C277" s="185"/>
      <c r="D277" s="185"/>
      <c r="E277" s="185"/>
      <c r="F277" s="185"/>
      <c r="G277" s="185"/>
      <c r="H277" s="185"/>
      <c r="I277" s="185"/>
      <c r="J277" s="185"/>
      <c r="K277" s="185"/>
      <c r="L277" s="185"/>
      <c r="M277" s="185"/>
      <c r="N277" s="186"/>
      <c r="O277" s="10"/>
    </row>
    <row r="278" spans="1:15" x14ac:dyDescent="0.25">
      <c r="A278" s="178"/>
      <c r="B278" s="179"/>
      <c r="C278" s="179"/>
      <c r="D278" s="179"/>
      <c r="E278" s="179"/>
      <c r="F278" s="179"/>
      <c r="G278" s="179"/>
      <c r="H278" s="179"/>
      <c r="I278" s="179"/>
      <c r="J278" s="179"/>
      <c r="K278" s="179"/>
      <c r="L278" s="179"/>
      <c r="M278" s="179"/>
      <c r="N278" s="180"/>
      <c r="O278" s="10">
        <f t="shared" si="11"/>
        <v>0</v>
      </c>
    </row>
    <row r="279" spans="1:15" x14ac:dyDescent="0.25">
      <c r="A279" s="174" t="s">
        <v>68</v>
      </c>
      <c r="B279" s="174"/>
      <c r="C279" s="174"/>
      <c r="D279" s="174"/>
      <c r="E279" s="174"/>
      <c r="F279" s="174"/>
      <c r="G279" s="174"/>
      <c r="H279" s="174"/>
      <c r="I279" s="174"/>
      <c r="J279" s="174"/>
      <c r="K279" s="174"/>
      <c r="L279" s="174"/>
      <c r="M279" s="174"/>
      <c r="N279" s="174"/>
      <c r="O279" s="10"/>
    </row>
    <row r="280" spans="1:15" x14ac:dyDescent="0.25">
      <c r="A280" s="178"/>
      <c r="B280" s="179"/>
      <c r="C280" s="179"/>
      <c r="D280" s="179"/>
      <c r="E280" s="179"/>
      <c r="F280" s="179"/>
      <c r="G280" s="179"/>
      <c r="H280" s="179"/>
      <c r="I280" s="179"/>
      <c r="J280" s="179"/>
      <c r="K280" s="179"/>
      <c r="L280" s="179"/>
      <c r="M280" s="179"/>
      <c r="N280" s="180"/>
      <c r="O280" s="10">
        <f t="shared" si="11"/>
        <v>0</v>
      </c>
    </row>
    <row r="281" spans="1:15" x14ac:dyDescent="0.25">
      <c r="A281" s="176" t="s">
        <v>60</v>
      </c>
      <c r="B281" s="176"/>
      <c r="C281" s="176"/>
      <c r="D281" s="176"/>
      <c r="E281" s="176"/>
      <c r="F281" s="176"/>
      <c r="G281" s="176"/>
      <c r="H281" s="176"/>
      <c r="I281" s="176"/>
      <c r="J281" s="176"/>
      <c r="K281" s="176"/>
      <c r="L281" s="176"/>
      <c r="M281" s="176" t="s">
        <v>61</v>
      </c>
      <c r="N281" s="176"/>
      <c r="O281" s="10"/>
    </row>
    <row r="282" spans="1:15" x14ac:dyDescent="0.25">
      <c r="A282" s="176" t="s">
        <v>62</v>
      </c>
      <c r="B282" s="176"/>
      <c r="C282" s="176"/>
      <c r="D282" s="176"/>
      <c r="E282" s="176"/>
      <c r="F282" s="176"/>
      <c r="G282" s="176"/>
      <c r="H282" s="176"/>
      <c r="I282" s="176"/>
      <c r="J282" s="176"/>
      <c r="K282" s="176"/>
      <c r="L282" s="176"/>
      <c r="M282" s="176" t="s">
        <v>61</v>
      </c>
      <c r="N282" s="176"/>
      <c r="O282" s="10"/>
    </row>
    <row r="283" spans="1:15" x14ac:dyDescent="0.25">
      <c r="A283" s="209" t="s">
        <v>91</v>
      </c>
      <c r="B283" s="209"/>
      <c r="C283" s="209"/>
      <c r="D283" s="209"/>
      <c r="E283" s="209"/>
      <c r="F283" s="209"/>
      <c r="G283" s="209"/>
      <c r="H283" s="209"/>
      <c r="I283" s="209"/>
      <c r="J283" s="209"/>
      <c r="K283" s="209"/>
      <c r="L283" s="209"/>
      <c r="M283" s="209"/>
      <c r="N283" s="209"/>
      <c r="O283" s="4"/>
    </row>
    <row r="284" spans="1:15" x14ac:dyDescent="0.25">
      <c r="A284" s="209" t="s">
        <v>89</v>
      </c>
      <c r="B284" s="209"/>
      <c r="C284" s="209"/>
      <c r="D284" s="209"/>
      <c r="E284" s="209"/>
      <c r="F284" s="209"/>
      <c r="G284" s="209"/>
      <c r="H284" s="209"/>
      <c r="I284" s="209"/>
      <c r="J284" s="209"/>
      <c r="K284" s="209"/>
      <c r="L284" s="209"/>
      <c r="M284" s="209"/>
      <c r="N284" s="209"/>
      <c r="O284" s="4"/>
    </row>
    <row r="285" spans="1:15" x14ac:dyDescent="0.25">
      <c r="A285" s="209" t="s">
        <v>44</v>
      </c>
      <c r="B285" s="209"/>
      <c r="C285" s="209"/>
      <c r="D285" s="209"/>
      <c r="E285" s="209"/>
      <c r="F285" s="209"/>
      <c r="G285" s="209"/>
      <c r="H285" s="209"/>
      <c r="I285" s="209"/>
      <c r="J285" s="209"/>
      <c r="K285" s="209"/>
      <c r="L285" s="209"/>
      <c r="M285" s="209"/>
      <c r="N285" s="209"/>
      <c r="O285" s="4"/>
    </row>
    <row r="286" spans="1:15" ht="15.75" x14ac:dyDescent="0.25">
      <c r="A286" s="210" t="s">
        <v>72</v>
      </c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0"/>
      <c r="M286" s="210"/>
      <c r="N286" s="210"/>
      <c r="O286" s="4"/>
    </row>
    <row r="287" spans="1:15" ht="15.75" x14ac:dyDescent="0.25">
      <c r="A287" s="211" t="s">
        <v>125</v>
      </c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4"/>
    </row>
    <row r="288" spans="1:15" ht="15.75" x14ac:dyDescent="0.25">
      <c r="A288" s="5" t="s">
        <v>46</v>
      </c>
      <c r="B288" s="208" t="s">
        <v>123</v>
      </c>
      <c r="C288" s="208"/>
      <c r="D288" s="208"/>
      <c r="E288" s="208"/>
      <c r="F288" s="208"/>
      <c r="G288" s="208"/>
      <c r="H288" s="208"/>
      <c r="I288" s="208"/>
      <c r="J288" s="208"/>
      <c r="K288" s="208"/>
      <c r="L288" s="208"/>
      <c r="M288" s="208"/>
      <c r="N288" s="208"/>
      <c r="O288" s="4"/>
    </row>
    <row r="289" spans="1:15" ht="15.75" x14ac:dyDescent="0.25">
      <c r="A289" s="5" t="s">
        <v>47</v>
      </c>
      <c r="B289" s="175" t="s">
        <v>99</v>
      </c>
      <c r="C289" s="175"/>
      <c r="D289" s="175"/>
      <c r="E289" s="175"/>
      <c r="F289" s="175"/>
      <c r="G289" s="175"/>
      <c r="H289" s="175"/>
      <c r="I289" s="175"/>
      <c r="J289" s="175"/>
      <c r="K289" s="175"/>
      <c r="L289" s="174" t="s">
        <v>74</v>
      </c>
      <c r="M289" s="174"/>
      <c r="N289" s="34">
        <v>13538.455290123224</v>
      </c>
      <c r="O289" s="4"/>
    </row>
    <row r="290" spans="1:15" x14ac:dyDescent="0.25">
      <c r="A290" s="6" t="s">
        <v>21</v>
      </c>
      <c r="B290" s="7" t="s">
        <v>92</v>
      </c>
      <c r="C290" s="6" t="s">
        <v>22</v>
      </c>
      <c r="D290" s="7">
        <v>2020</v>
      </c>
      <c r="E290" s="194" t="s">
        <v>20</v>
      </c>
      <c r="F290" s="194"/>
      <c r="G290" s="194"/>
      <c r="H290" s="195" t="s">
        <v>124</v>
      </c>
      <c r="I290" s="196"/>
      <c r="J290" s="196"/>
      <c r="K290" s="196"/>
      <c r="L290" s="196"/>
      <c r="M290" s="196"/>
      <c r="N290" s="197"/>
      <c r="O290" s="4"/>
    </row>
    <row r="291" spans="1:15" x14ac:dyDescent="0.25">
      <c r="A291" s="198" t="s">
        <v>48</v>
      </c>
      <c r="B291" s="199"/>
      <c r="C291" s="200"/>
      <c r="D291" s="204" t="s">
        <v>49</v>
      </c>
      <c r="E291" s="205"/>
      <c r="F291" s="205"/>
      <c r="G291" s="205"/>
      <c r="H291" s="206"/>
      <c r="I291" s="207" t="s">
        <v>50</v>
      </c>
      <c r="J291" s="207"/>
      <c r="K291" s="207"/>
      <c r="L291" s="207"/>
      <c r="M291" s="207"/>
      <c r="N291" s="207"/>
      <c r="O291" s="4"/>
    </row>
    <row r="292" spans="1:15" ht="30" x14ac:dyDescent="0.25">
      <c r="A292" s="201"/>
      <c r="B292" s="202"/>
      <c r="C292" s="203"/>
      <c r="D292" s="8" t="s">
        <v>51</v>
      </c>
      <c r="E292" s="8" t="s">
        <v>52</v>
      </c>
      <c r="F292" s="8" t="s">
        <v>53</v>
      </c>
      <c r="G292" s="8" t="s">
        <v>54</v>
      </c>
      <c r="H292" s="8" t="s">
        <v>55</v>
      </c>
      <c r="I292" s="33" t="s">
        <v>51</v>
      </c>
      <c r="J292" s="33" t="s">
        <v>52</v>
      </c>
      <c r="K292" s="33" t="s">
        <v>53</v>
      </c>
      <c r="L292" s="33" t="s">
        <v>54</v>
      </c>
      <c r="M292" s="201" t="s">
        <v>56</v>
      </c>
      <c r="N292" s="203"/>
      <c r="O292" s="4"/>
    </row>
    <row r="293" spans="1:15" x14ac:dyDescent="0.25">
      <c r="A293" s="181" t="s">
        <v>2</v>
      </c>
      <c r="B293" s="182"/>
      <c r="C293" s="183"/>
      <c r="D293" s="9" t="s">
        <v>57</v>
      </c>
      <c r="E293" s="9" t="s">
        <v>57</v>
      </c>
      <c r="F293" s="9" t="s">
        <v>57</v>
      </c>
      <c r="G293" s="9" t="s">
        <v>57</v>
      </c>
      <c r="H293" s="9"/>
      <c r="I293" s="15">
        <v>0</v>
      </c>
      <c r="J293" s="15">
        <v>0</v>
      </c>
      <c r="K293" s="15">
        <v>0</v>
      </c>
      <c r="L293" s="15">
        <v>0</v>
      </c>
      <c r="M293" s="190">
        <f>I293+J293+K293+L293</f>
        <v>0</v>
      </c>
      <c r="N293" s="191"/>
      <c r="O293" s="4"/>
    </row>
    <row r="294" spans="1:15" x14ac:dyDescent="0.25">
      <c r="A294" s="181" t="s">
        <v>3</v>
      </c>
      <c r="B294" s="182"/>
      <c r="C294" s="183"/>
      <c r="D294" s="9" t="s">
        <v>57</v>
      </c>
      <c r="E294" s="9" t="s">
        <v>57</v>
      </c>
      <c r="F294" s="9" t="s">
        <v>57</v>
      </c>
      <c r="G294" s="9" t="s">
        <v>57</v>
      </c>
      <c r="H294" s="9"/>
      <c r="I294" s="15">
        <v>0</v>
      </c>
      <c r="J294" s="15">
        <v>0</v>
      </c>
      <c r="K294" s="15">
        <v>0</v>
      </c>
      <c r="L294" s="15">
        <v>0</v>
      </c>
      <c r="M294" s="192">
        <f t="shared" ref="M294:M301" si="12">I294+J294+K294+L294</f>
        <v>0</v>
      </c>
      <c r="N294" s="193"/>
      <c r="O294" s="4"/>
    </row>
    <row r="295" spans="1:15" x14ac:dyDescent="0.25">
      <c r="A295" s="181" t="s">
        <v>4</v>
      </c>
      <c r="B295" s="182"/>
      <c r="C295" s="183"/>
      <c r="D295" s="9" t="s">
        <v>57</v>
      </c>
      <c r="E295" s="9" t="s">
        <v>57</v>
      </c>
      <c r="F295" s="9" t="s">
        <v>57</v>
      </c>
      <c r="G295" s="9" t="s">
        <v>57</v>
      </c>
      <c r="H295" s="9"/>
      <c r="I295" s="15">
        <v>0</v>
      </c>
      <c r="J295" s="15">
        <v>0</v>
      </c>
      <c r="K295" s="15">
        <v>0</v>
      </c>
      <c r="L295" s="15">
        <v>0</v>
      </c>
      <c r="M295" s="192">
        <f t="shared" si="12"/>
        <v>0</v>
      </c>
      <c r="N295" s="193"/>
      <c r="O295" s="4"/>
    </row>
    <row r="296" spans="1:15" x14ac:dyDescent="0.25">
      <c r="A296" s="181" t="s">
        <v>5</v>
      </c>
      <c r="B296" s="182"/>
      <c r="C296" s="183"/>
      <c r="D296" s="9" t="s">
        <v>57</v>
      </c>
      <c r="E296" s="9" t="s">
        <v>57</v>
      </c>
      <c r="F296" s="9" t="s">
        <v>57</v>
      </c>
      <c r="G296" s="9" t="s">
        <v>57</v>
      </c>
      <c r="H296" s="9"/>
      <c r="I296" s="15">
        <v>0</v>
      </c>
      <c r="J296" s="15">
        <v>0</v>
      </c>
      <c r="K296" s="15">
        <v>0</v>
      </c>
      <c r="L296" s="15">
        <v>0</v>
      </c>
      <c r="M296" s="192">
        <f t="shared" si="12"/>
        <v>0</v>
      </c>
      <c r="N296" s="193"/>
      <c r="O296" s="4"/>
    </row>
    <row r="297" spans="1:15" x14ac:dyDescent="0.25">
      <c r="A297" s="181" t="s">
        <v>6</v>
      </c>
      <c r="B297" s="182"/>
      <c r="C297" s="183"/>
      <c r="D297" s="9" t="s">
        <v>57</v>
      </c>
      <c r="E297" s="9" t="s">
        <v>57</v>
      </c>
      <c r="F297" s="9" t="s">
        <v>57</v>
      </c>
      <c r="G297" s="9" t="s">
        <v>57</v>
      </c>
      <c r="H297" s="9"/>
      <c r="I297" s="15">
        <v>0</v>
      </c>
      <c r="J297" s="15">
        <v>0</v>
      </c>
      <c r="K297" s="15">
        <v>0</v>
      </c>
      <c r="L297" s="15">
        <v>0</v>
      </c>
      <c r="M297" s="192">
        <f t="shared" si="12"/>
        <v>0</v>
      </c>
      <c r="N297" s="193"/>
      <c r="O297" s="4"/>
    </row>
    <row r="298" spans="1:15" x14ac:dyDescent="0.25">
      <c r="A298" s="181" t="s">
        <v>8</v>
      </c>
      <c r="B298" s="182"/>
      <c r="C298" s="183"/>
      <c r="D298" s="9" t="s">
        <v>57</v>
      </c>
      <c r="E298" s="9" t="s">
        <v>57</v>
      </c>
      <c r="F298" s="9" t="s">
        <v>57</v>
      </c>
      <c r="G298" s="9" t="s">
        <v>57</v>
      </c>
      <c r="H298" s="9"/>
      <c r="I298" s="15">
        <v>0</v>
      </c>
      <c r="J298" s="15">
        <v>0</v>
      </c>
      <c r="K298" s="15">
        <v>0</v>
      </c>
      <c r="L298" s="15">
        <v>0</v>
      </c>
      <c r="M298" s="192">
        <f t="shared" si="12"/>
        <v>0</v>
      </c>
      <c r="N298" s="193"/>
      <c r="O298" s="4"/>
    </row>
    <row r="299" spans="1:15" x14ac:dyDescent="0.25">
      <c r="A299" s="181" t="s">
        <v>38</v>
      </c>
      <c r="B299" s="182"/>
      <c r="C299" s="183"/>
      <c r="D299" s="9" t="s">
        <v>57</v>
      </c>
      <c r="E299" s="9" t="s">
        <v>57</v>
      </c>
      <c r="F299" s="9" t="s">
        <v>57</v>
      </c>
      <c r="G299" s="9" t="s">
        <v>57</v>
      </c>
      <c r="H299" s="9"/>
      <c r="I299" s="15">
        <v>0</v>
      </c>
      <c r="J299" s="15">
        <v>0</v>
      </c>
      <c r="K299" s="15">
        <v>0</v>
      </c>
      <c r="L299" s="15">
        <v>0</v>
      </c>
      <c r="M299" s="192">
        <f t="shared" si="12"/>
        <v>0</v>
      </c>
      <c r="N299" s="193"/>
      <c r="O299" s="4"/>
    </row>
    <row r="300" spans="1:15" x14ac:dyDescent="0.25">
      <c r="A300" s="181" t="s">
        <v>7</v>
      </c>
      <c r="B300" s="182"/>
      <c r="C300" s="183"/>
      <c r="D300" s="9" t="s">
        <v>57</v>
      </c>
      <c r="E300" s="9" t="s">
        <v>57</v>
      </c>
      <c r="F300" s="9" t="s">
        <v>57</v>
      </c>
      <c r="G300" s="9" t="s">
        <v>57</v>
      </c>
      <c r="H300" s="9"/>
      <c r="I300" s="15">
        <v>0</v>
      </c>
      <c r="J300" s="15">
        <v>0</v>
      </c>
      <c r="K300" s="15">
        <v>0</v>
      </c>
      <c r="L300" s="15">
        <v>0</v>
      </c>
      <c r="M300" s="192">
        <f t="shared" si="12"/>
        <v>0</v>
      </c>
      <c r="N300" s="193"/>
      <c r="O300" s="4"/>
    </row>
    <row r="301" spans="1:15" x14ac:dyDescent="0.25">
      <c r="A301" s="181" t="s">
        <v>90</v>
      </c>
      <c r="B301" s="182"/>
      <c r="C301" s="183"/>
      <c r="D301" s="9" t="s">
        <v>57</v>
      </c>
      <c r="E301" s="9" t="s">
        <v>57</v>
      </c>
      <c r="F301" s="9" t="s">
        <v>57</v>
      </c>
      <c r="G301" s="9" t="s">
        <v>57</v>
      </c>
      <c r="H301" s="9"/>
      <c r="I301" s="15">
        <v>0</v>
      </c>
      <c r="J301" s="15">
        <v>0</v>
      </c>
      <c r="K301" s="15">
        <v>0</v>
      </c>
      <c r="L301" s="15">
        <v>0</v>
      </c>
      <c r="M301" s="188">
        <f t="shared" si="12"/>
        <v>0</v>
      </c>
      <c r="N301" s="189"/>
      <c r="O301" s="4"/>
    </row>
    <row r="302" spans="1:15" x14ac:dyDescent="0.25">
      <c r="O302" s="4"/>
    </row>
    <row r="303" spans="1:15" ht="15.75" x14ac:dyDescent="0.25">
      <c r="A303" s="177" t="s">
        <v>58</v>
      </c>
      <c r="B303" s="177"/>
      <c r="C303" s="177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4"/>
    </row>
    <row r="304" spans="1:15" x14ac:dyDescent="0.25">
      <c r="A304" s="178"/>
      <c r="B304" s="179"/>
      <c r="C304" s="179"/>
      <c r="D304" s="179"/>
      <c r="E304" s="179"/>
      <c r="F304" s="179"/>
      <c r="G304" s="179"/>
      <c r="H304" s="179"/>
      <c r="I304" s="179"/>
      <c r="J304" s="179"/>
      <c r="K304" s="179"/>
      <c r="L304" s="179"/>
      <c r="M304" s="179"/>
      <c r="N304" s="180"/>
      <c r="O304" s="10">
        <f>A304</f>
        <v>0</v>
      </c>
    </row>
    <row r="305" spans="1:15" x14ac:dyDescent="0.25">
      <c r="A305" s="174" t="s">
        <v>59</v>
      </c>
      <c r="B305" s="174"/>
      <c r="C305" s="174"/>
      <c r="D305" s="174"/>
      <c r="E305" s="174"/>
      <c r="F305" s="174"/>
      <c r="G305" s="174"/>
      <c r="H305" s="174"/>
      <c r="I305" s="174"/>
      <c r="J305" s="174"/>
      <c r="K305" s="174"/>
      <c r="L305" s="174"/>
      <c r="M305" s="174"/>
      <c r="N305" s="174"/>
      <c r="O305" s="10"/>
    </row>
    <row r="306" spans="1:15" x14ac:dyDescent="0.25">
      <c r="A306" s="178"/>
      <c r="B306" s="179"/>
      <c r="C306" s="179"/>
      <c r="D306" s="179"/>
      <c r="E306" s="179"/>
      <c r="F306" s="179"/>
      <c r="G306" s="179"/>
      <c r="H306" s="179"/>
      <c r="I306" s="179"/>
      <c r="J306" s="179"/>
      <c r="K306" s="179"/>
      <c r="L306" s="179"/>
      <c r="M306" s="179"/>
      <c r="N306" s="180"/>
      <c r="O306" s="10">
        <f t="shared" ref="O306:O327" si="13">A306</f>
        <v>0</v>
      </c>
    </row>
    <row r="307" spans="1:15" x14ac:dyDescent="0.25">
      <c r="A307" s="176" t="s">
        <v>60</v>
      </c>
      <c r="B307" s="176"/>
      <c r="C307" s="176"/>
      <c r="D307" s="176"/>
      <c r="E307" s="176"/>
      <c r="F307" s="176"/>
      <c r="G307" s="176"/>
      <c r="H307" s="176"/>
      <c r="I307" s="176"/>
      <c r="J307" s="176"/>
      <c r="K307" s="176"/>
      <c r="L307" s="176"/>
      <c r="M307" s="176" t="s">
        <v>61</v>
      </c>
      <c r="N307" s="176"/>
      <c r="O307" s="10"/>
    </row>
    <row r="308" spans="1:15" x14ac:dyDescent="0.25">
      <c r="A308" s="176" t="s">
        <v>62</v>
      </c>
      <c r="B308" s="176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 t="s">
        <v>61</v>
      </c>
      <c r="N308" s="176"/>
      <c r="O308" s="10"/>
    </row>
    <row r="309" spans="1:15" x14ac:dyDescent="0.25">
      <c r="O309" s="10"/>
    </row>
    <row r="310" spans="1:15" ht="15.75" x14ac:dyDescent="0.25">
      <c r="A310" s="184" t="s">
        <v>63</v>
      </c>
      <c r="B310" s="185"/>
      <c r="C310" s="185"/>
      <c r="D310" s="185"/>
      <c r="E310" s="185"/>
      <c r="F310" s="185"/>
      <c r="G310" s="185"/>
      <c r="H310" s="185"/>
      <c r="I310" s="185"/>
      <c r="J310" s="185"/>
      <c r="K310" s="185"/>
      <c r="L310" s="185"/>
      <c r="M310" s="185"/>
      <c r="N310" s="186"/>
      <c r="O310" s="10"/>
    </row>
    <row r="311" spans="1:15" x14ac:dyDescent="0.25">
      <c r="A311" s="178"/>
      <c r="B311" s="179"/>
      <c r="C311" s="179"/>
      <c r="D311" s="179"/>
      <c r="E311" s="179"/>
      <c r="F311" s="179"/>
      <c r="G311" s="179"/>
      <c r="H311" s="179"/>
      <c r="I311" s="179"/>
      <c r="J311" s="179"/>
      <c r="K311" s="179"/>
      <c r="L311" s="179"/>
      <c r="M311" s="179"/>
      <c r="N311" s="179"/>
      <c r="O311" s="10">
        <f t="shared" si="13"/>
        <v>0</v>
      </c>
    </row>
    <row r="312" spans="1:15" x14ac:dyDescent="0.25">
      <c r="A312" s="174" t="s">
        <v>64</v>
      </c>
      <c r="B312" s="174"/>
      <c r="C312" s="174"/>
      <c r="D312" s="174"/>
      <c r="E312" s="174"/>
      <c r="F312" s="174"/>
      <c r="G312" s="174"/>
      <c r="H312" s="174"/>
      <c r="I312" s="174"/>
      <c r="J312" s="174"/>
      <c r="K312" s="174"/>
      <c r="L312" s="174"/>
      <c r="M312" s="174"/>
      <c r="N312" s="174"/>
      <c r="O312" s="10"/>
    </row>
    <row r="313" spans="1:15" x14ac:dyDescent="0.25">
      <c r="A313" s="178"/>
      <c r="B313" s="179"/>
      <c r="C313" s="179"/>
      <c r="D313" s="179"/>
      <c r="E313" s="179"/>
      <c r="F313" s="179"/>
      <c r="G313" s="179"/>
      <c r="H313" s="179"/>
      <c r="I313" s="179"/>
      <c r="J313" s="179"/>
      <c r="K313" s="179"/>
      <c r="L313" s="179"/>
      <c r="M313" s="179"/>
      <c r="N313" s="180"/>
      <c r="O313" s="10">
        <f t="shared" si="13"/>
        <v>0</v>
      </c>
    </row>
    <row r="314" spans="1:15" x14ac:dyDescent="0.25">
      <c r="A314" s="176" t="s">
        <v>60</v>
      </c>
      <c r="B314" s="176"/>
      <c r="C314" s="176"/>
      <c r="D314" s="176"/>
      <c r="E314" s="176"/>
      <c r="F314" s="176"/>
      <c r="G314" s="176"/>
      <c r="H314" s="176"/>
      <c r="I314" s="176"/>
      <c r="J314" s="176"/>
      <c r="K314" s="176"/>
      <c r="L314" s="176"/>
      <c r="M314" s="176" t="s">
        <v>61</v>
      </c>
      <c r="N314" s="176"/>
      <c r="O314" s="10"/>
    </row>
    <row r="315" spans="1:15" x14ac:dyDescent="0.25">
      <c r="A315" s="176" t="s">
        <v>62</v>
      </c>
      <c r="B315" s="176"/>
      <c r="C315" s="176"/>
      <c r="D315" s="176"/>
      <c r="E315" s="176"/>
      <c r="F315" s="176"/>
      <c r="G315" s="176"/>
      <c r="H315" s="176"/>
      <c r="I315" s="176"/>
      <c r="J315" s="176"/>
      <c r="K315" s="176"/>
      <c r="L315" s="176"/>
      <c r="M315" s="176" t="s">
        <v>61</v>
      </c>
      <c r="N315" s="176"/>
      <c r="O315" s="10"/>
    </row>
    <row r="316" spans="1:15" x14ac:dyDescent="0.25">
      <c r="O316" s="10"/>
    </row>
    <row r="317" spans="1:15" ht="15.75" x14ac:dyDescent="0.25">
      <c r="A317" s="177" t="s">
        <v>65</v>
      </c>
      <c r="B317" s="177"/>
      <c r="C317" s="177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0"/>
    </row>
    <row r="318" spans="1:15" x14ac:dyDescent="0.25">
      <c r="A318" s="178"/>
      <c r="B318" s="179"/>
      <c r="C318" s="179"/>
      <c r="D318" s="179"/>
      <c r="E318" s="179"/>
      <c r="F318" s="179"/>
      <c r="G318" s="179"/>
      <c r="H318" s="179"/>
      <c r="I318" s="179"/>
      <c r="J318" s="179"/>
      <c r="K318" s="179"/>
      <c r="L318" s="179"/>
      <c r="M318" s="179"/>
      <c r="N318" s="180"/>
      <c r="O318" s="10">
        <f t="shared" si="13"/>
        <v>0</v>
      </c>
    </row>
    <row r="319" spans="1:15" x14ac:dyDescent="0.25">
      <c r="A319" s="174" t="s">
        <v>66</v>
      </c>
      <c r="B319" s="174"/>
      <c r="C319" s="174"/>
      <c r="D319" s="174"/>
      <c r="E319" s="174"/>
      <c r="F319" s="174"/>
      <c r="G319" s="174"/>
      <c r="H319" s="174"/>
      <c r="I319" s="174"/>
      <c r="J319" s="174"/>
      <c r="K319" s="174"/>
      <c r="L319" s="174"/>
      <c r="M319" s="174"/>
      <c r="N319" s="174"/>
      <c r="O319" s="10"/>
    </row>
    <row r="320" spans="1:15" x14ac:dyDescent="0.25">
      <c r="A320" s="178"/>
      <c r="B320" s="179"/>
      <c r="C320" s="179"/>
      <c r="D320" s="179"/>
      <c r="E320" s="179"/>
      <c r="F320" s="179"/>
      <c r="G320" s="179"/>
      <c r="H320" s="179"/>
      <c r="I320" s="179"/>
      <c r="J320" s="179"/>
      <c r="K320" s="179"/>
      <c r="L320" s="179"/>
      <c r="M320" s="179"/>
      <c r="N320" s="180"/>
      <c r="O320" s="10">
        <f t="shared" si="13"/>
        <v>0</v>
      </c>
    </row>
    <row r="321" spans="1:15" x14ac:dyDescent="0.25">
      <c r="A321" s="187" t="s">
        <v>60</v>
      </c>
      <c r="B321" s="187"/>
      <c r="C321" s="187"/>
      <c r="D321" s="187"/>
      <c r="E321" s="187"/>
      <c r="F321" s="187"/>
      <c r="G321" s="187"/>
      <c r="H321" s="187"/>
      <c r="I321" s="187"/>
      <c r="J321" s="187"/>
      <c r="K321" s="187"/>
      <c r="L321" s="187"/>
      <c r="M321" s="176" t="s">
        <v>61</v>
      </c>
      <c r="N321" s="176"/>
      <c r="O321" s="10"/>
    </row>
    <row r="322" spans="1:15" x14ac:dyDescent="0.25">
      <c r="A322" s="187" t="s">
        <v>62</v>
      </c>
      <c r="B322" s="187"/>
      <c r="C322" s="187"/>
      <c r="D322" s="187"/>
      <c r="E322" s="187"/>
      <c r="F322" s="187"/>
      <c r="G322" s="187"/>
      <c r="H322" s="187"/>
      <c r="I322" s="187"/>
      <c r="J322" s="187"/>
      <c r="K322" s="187"/>
      <c r="L322" s="187"/>
      <c r="M322" s="176" t="s">
        <v>61</v>
      </c>
      <c r="N322" s="176"/>
      <c r="O322" s="10"/>
    </row>
    <row r="323" spans="1:15" x14ac:dyDescent="0.25">
      <c r="O323" s="10"/>
    </row>
    <row r="324" spans="1:15" ht="15.75" x14ac:dyDescent="0.25">
      <c r="A324" s="184" t="s">
        <v>67</v>
      </c>
      <c r="B324" s="185"/>
      <c r="C324" s="185"/>
      <c r="D324" s="185"/>
      <c r="E324" s="185"/>
      <c r="F324" s="185"/>
      <c r="G324" s="185"/>
      <c r="H324" s="185"/>
      <c r="I324" s="185"/>
      <c r="J324" s="185"/>
      <c r="K324" s="185"/>
      <c r="L324" s="185"/>
      <c r="M324" s="185"/>
      <c r="N324" s="186"/>
      <c r="O324" s="10"/>
    </row>
    <row r="325" spans="1:15" x14ac:dyDescent="0.25">
      <c r="A325" s="178"/>
      <c r="B325" s="179"/>
      <c r="C325" s="179"/>
      <c r="D325" s="179"/>
      <c r="E325" s="179"/>
      <c r="F325" s="179"/>
      <c r="G325" s="179"/>
      <c r="H325" s="179"/>
      <c r="I325" s="179"/>
      <c r="J325" s="179"/>
      <c r="K325" s="179"/>
      <c r="L325" s="179"/>
      <c r="M325" s="179"/>
      <c r="N325" s="180"/>
      <c r="O325" s="10">
        <f t="shared" si="13"/>
        <v>0</v>
      </c>
    </row>
    <row r="326" spans="1:15" x14ac:dyDescent="0.25">
      <c r="A326" s="174" t="s">
        <v>68</v>
      </c>
      <c r="B326" s="174"/>
      <c r="C326" s="174"/>
      <c r="D326" s="174"/>
      <c r="E326" s="174"/>
      <c r="F326" s="174"/>
      <c r="G326" s="174"/>
      <c r="H326" s="174"/>
      <c r="I326" s="174"/>
      <c r="J326" s="174"/>
      <c r="K326" s="174"/>
      <c r="L326" s="174"/>
      <c r="M326" s="174"/>
      <c r="N326" s="174"/>
      <c r="O326" s="10"/>
    </row>
    <row r="327" spans="1:15" x14ac:dyDescent="0.25">
      <c r="A327" s="178"/>
      <c r="B327" s="179"/>
      <c r="C327" s="179"/>
      <c r="D327" s="179"/>
      <c r="E327" s="179"/>
      <c r="F327" s="179"/>
      <c r="G327" s="179"/>
      <c r="H327" s="179"/>
      <c r="I327" s="179"/>
      <c r="J327" s="179"/>
      <c r="K327" s="179"/>
      <c r="L327" s="179"/>
      <c r="M327" s="179"/>
      <c r="N327" s="180"/>
      <c r="O327" s="10">
        <f t="shared" si="13"/>
        <v>0</v>
      </c>
    </row>
    <row r="328" spans="1:15" x14ac:dyDescent="0.25">
      <c r="A328" s="176" t="s">
        <v>60</v>
      </c>
      <c r="B328" s="176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 t="s">
        <v>61</v>
      </c>
      <c r="N328" s="176"/>
      <c r="O328" s="10"/>
    </row>
    <row r="329" spans="1:15" x14ac:dyDescent="0.25">
      <c r="A329" s="176" t="s">
        <v>62</v>
      </c>
      <c r="B329" s="176"/>
      <c r="C329" s="176"/>
      <c r="D329" s="176"/>
      <c r="E329" s="176"/>
      <c r="F329" s="176"/>
      <c r="G329" s="176"/>
      <c r="H329" s="176"/>
      <c r="I329" s="176"/>
      <c r="J329" s="176"/>
      <c r="K329" s="176"/>
      <c r="L329" s="176"/>
      <c r="M329" s="176" t="s">
        <v>61</v>
      </c>
      <c r="N329" s="176"/>
      <c r="O329" s="10"/>
    </row>
    <row r="330" spans="1:15" x14ac:dyDescent="0.25">
      <c r="A330" s="209" t="s">
        <v>91</v>
      </c>
      <c r="B330" s="209"/>
      <c r="C330" s="209"/>
      <c r="D330" s="209"/>
      <c r="E330" s="209"/>
      <c r="F330" s="209"/>
      <c r="G330" s="209"/>
      <c r="H330" s="209"/>
      <c r="I330" s="209"/>
      <c r="J330" s="209"/>
      <c r="K330" s="209"/>
      <c r="L330" s="209"/>
      <c r="M330" s="209"/>
      <c r="N330" s="209"/>
      <c r="O330" s="4"/>
    </row>
    <row r="331" spans="1:15" x14ac:dyDescent="0.25">
      <c r="A331" s="209" t="s">
        <v>89</v>
      </c>
      <c r="B331" s="209"/>
      <c r="C331" s="209"/>
      <c r="D331" s="209"/>
      <c r="E331" s="209"/>
      <c r="F331" s="209"/>
      <c r="G331" s="209"/>
      <c r="H331" s="209"/>
      <c r="I331" s="209"/>
      <c r="J331" s="209"/>
      <c r="K331" s="209"/>
      <c r="L331" s="209"/>
      <c r="M331" s="209"/>
      <c r="N331" s="209"/>
      <c r="O331" s="4"/>
    </row>
    <row r="332" spans="1:15" x14ac:dyDescent="0.25">
      <c r="A332" s="209" t="s">
        <v>44</v>
      </c>
      <c r="B332" s="209"/>
      <c r="C332" s="209"/>
      <c r="D332" s="209"/>
      <c r="E332" s="209"/>
      <c r="F332" s="209"/>
      <c r="G332" s="209"/>
      <c r="H332" s="209"/>
      <c r="I332" s="209"/>
      <c r="J332" s="209"/>
      <c r="K332" s="209"/>
      <c r="L332" s="209"/>
      <c r="M332" s="209"/>
      <c r="N332" s="209"/>
      <c r="O332" s="4"/>
    </row>
    <row r="333" spans="1:15" ht="15.75" x14ac:dyDescent="0.25">
      <c r="A333" s="210" t="s">
        <v>72</v>
      </c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0"/>
      <c r="M333" s="210"/>
      <c r="N333" s="210"/>
      <c r="O333" s="4"/>
    </row>
    <row r="334" spans="1:15" ht="15.75" x14ac:dyDescent="0.25">
      <c r="A334" s="211" t="s">
        <v>125</v>
      </c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4"/>
    </row>
    <row r="335" spans="1:15" ht="15.75" x14ac:dyDescent="0.25">
      <c r="A335" s="5" t="s">
        <v>46</v>
      </c>
      <c r="B335" s="208" t="s">
        <v>123</v>
      </c>
      <c r="C335" s="208"/>
      <c r="D335" s="208"/>
      <c r="E335" s="208"/>
      <c r="F335" s="208"/>
      <c r="G335" s="208"/>
      <c r="H335" s="208"/>
      <c r="I335" s="208"/>
      <c r="J335" s="208"/>
      <c r="K335" s="208"/>
      <c r="L335" s="208"/>
      <c r="M335" s="208"/>
      <c r="N335" s="208"/>
      <c r="O335" s="4"/>
    </row>
    <row r="336" spans="1:15" ht="15.75" x14ac:dyDescent="0.25">
      <c r="A336" s="5" t="s">
        <v>47</v>
      </c>
      <c r="B336" s="175" t="s">
        <v>100</v>
      </c>
      <c r="C336" s="175"/>
      <c r="D336" s="175"/>
      <c r="E336" s="175"/>
      <c r="F336" s="175"/>
      <c r="G336" s="175"/>
      <c r="H336" s="175"/>
      <c r="I336" s="175"/>
      <c r="J336" s="175"/>
      <c r="K336" s="175"/>
      <c r="L336" s="174" t="s">
        <v>74</v>
      </c>
      <c r="M336" s="174"/>
      <c r="N336" s="34">
        <v>3338.6658487339605</v>
      </c>
      <c r="O336" s="4"/>
    </row>
    <row r="337" spans="1:15" x14ac:dyDescent="0.25">
      <c r="A337" s="6" t="s">
        <v>21</v>
      </c>
      <c r="B337" s="7" t="s">
        <v>92</v>
      </c>
      <c r="C337" s="6" t="s">
        <v>22</v>
      </c>
      <c r="D337" s="7">
        <v>2020</v>
      </c>
      <c r="E337" s="194" t="s">
        <v>20</v>
      </c>
      <c r="F337" s="194"/>
      <c r="G337" s="194"/>
      <c r="H337" s="195" t="s">
        <v>124</v>
      </c>
      <c r="I337" s="196"/>
      <c r="J337" s="196"/>
      <c r="K337" s="196"/>
      <c r="L337" s="196"/>
      <c r="M337" s="196"/>
      <c r="N337" s="197"/>
      <c r="O337" s="4"/>
    </row>
    <row r="338" spans="1:15" x14ac:dyDescent="0.25">
      <c r="A338" s="198" t="s">
        <v>48</v>
      </c>
      <c r="B338" s="199"/>
      <c r="C338" s="200"/>
      <c r="D338" s="204" t="s">
        <v>49</v>
      </c>
      <c r="E338" s="205"/>
      <c r="F338" s="205"/>
      <c r="G338" s="205"/>
      <c r="H338" s="206"/>
      <c r="I338" s="207" t="s">
        <v>50</v>
      </c>
      <c r="J338" s="207"/>
      <c r="K338" s="207"/>
      <c r="L338" s="207"/>
      <c r="M338" s="207"/>
      <c r="N338" s="207"/>
      <c r="O338" s="4"/>
    </row>
    <row r="339" spans="1:15" ht="30" x14ac:dyDescent="0.25">
      <c r="A339" s="201"/>
      <c r="B339" s="202"/>
      <c r="C339" s="203"/>
      <c r="D339" s="8" t="s">
        <v>51</v>
      </c>
      <c r="E339" s="8" t="s">
        <v>52</v>
      </c>
      <c r="F339" s="8" t="s">
        <v>53</v>
      </c>
      <c r="G339" s="8" t="s">
        <v>54</v>
      </c>
      <c r="H339" s="8" t="s">
        <v>55</v>
      </c>
      <c r="I339" s="33" t="s">
        <v>51</v>
      </c>
      <c r="J339" s="33" t="s">
        <v>52</v>
      </c>
      <c r="K339" s="33" t="s">
        <v>53</v>
      </c>
      <c r="L339" s="33" t="s">
        <v>54</v>
      </c>
      <c r="M339" s="201" t="s">
        <v>56</v>
      </c>
      <c r="N339" s="203"/>
      <c r="O339" s="4"/>
    </row>
    <row r="340" spans="1:15" x14ac:dyDescent="0.25">
      <c r="A340" s="181" t="s">
        <v>2</v>
      </c>
      <c r="B340" s="182"/>
      <c r="C340" s="183"/>
      <c r="D340" s="9" t="s">
        <v>57</v>
      </c>
      <c r="E340" s="9" t="s">
        <v>57</v>
      </c>
      <c r="F340" s="9" t="s">
        <v>57</v>
      </c>
      <c r="G340" s="9" t="s">
        <v>57</v>
      </c>
      <c r="H340" s="9"/>
      <c r="I340" s="15">
        <v>0</v>
      </c>
      <c r="J340" s="15">
        <v>0</v>
      </c>
      <c r="K340" s="15">
        <v>0</v>
      </c>
      <c r="L340" s="15">
        <v>0</v>
      </c>
      <c r="M340" s="190">
        <f>I340+J340+K340+L340</f>
        <v>0</v>
      </c>
      <c r="N340" s="191"/>
      <c r="O340" s="4"/>
    </row>
    <row r="341" spans="1:15" x14ac:dyDescent="0.25">
      <c r="A341" s="181" t="s">
        <v>3</v>
      </c>
      <c r="B341" s="182"/>
      <c r="C341" s="183"/>
      <c r="D341" s="9" t="s">
        <v>57</v>
      </c>
      <c r="E341" s="9" t="s">
        <v>57</v>
      </c>
      <c r="F341" s="9" t="s">
        <v>57</v>
      </c>
      <c r="G341" s="9" t="s">
        <v>57</v>
      </c>
      <c r="H341" s="9"/>
      <c r="I341" s="15">
        <v>0</v>
      </c>
      <c r="J341" s="15">
        <v>0</v>
      </c>
      <c r="K341" s="15">
        <v>0</v>
      </c>
      <c r="L341" s="15">
        <v>0</v>
      </c>
      <c r="M341" s="192">
        <f t="shared" ref="M341:M348" si="14">I341+J341+K341+L341</f>
        <v>0</v>
      </c>
      <c r="N341" s="193"/>
      <c r="O341" s="4"/>
    </row>
    <row r="342" spans="1:15" x14ac:dyDescent="0.25">
      <c r="A342" s="181" t="s">
        <v>4</v>
      </c>
      <c r="B342" s="182"/>
      <c r="C342" s="183"/>
      <c r="D342" s="9" t="s">
        <v>57</v>
      </c>
      <c r="E342" s="9" t="s">
        <v>57</v>
      </c>
      <c r="F342" s="9" t="s">
        <v>57</v>
      </c>
      <c r="G342" s="9" t="s">
        <v>57</v>
      </c>
      <c r="H342" s="9"/>
      <c r="I342" s="15">
        <v>0</v>
      </c>
      <c r="J342" s="15">
        <v>0</v>
      </c>
      <c r="K342" s="15">
        <v>0</v>
      </c>
      <c r="L342" s="15">
        <v>0</v>
      </c>
      <c r="M342" s="192">
        <f t="shared" si="14"/>
        <v>0</v>
      </c>
      <c r="N342" s="193"/>
      <c r="O342" s="4"/>
    </row>
    <row r="343" spans="1:15" x14ac:dyDescent="0.25">
      <c r="A343" s="181" t="s">
        <v>5</v>
      </c>
      <c r="B343" s="182"/>
      <c r="C343" s="183"/>
      <c r="D343" s="9" t="s">
        <v>57</v>
      </c>
      <c r="E343" s="9" t="s">
        <v>57</v>
      </c>
      <c r="F343" s="9" t="s">
        <v>57</v>
      </c>
      <c r="G343" s="9" t="s">
        <v>57</v>
      </c>
      <c r="H343" s="9"/>
      <c r="I343" s="15">
        <v>0</v>
      </c>
      <c r="J343" s="15">
        <v>0</v>
      </c>
      <c r="K343" s="15">
        <v>0</v>
      </c>
      <c r="L343" s="15">
        <v>0</v>
      </c>
      <c r="M343" s="192">
        <f t="shared" si="14"/>
        <v>0</v>
      </c>
      <c r="N343" s="193"/>
      <c r="O343" s="4"/>
    </row>
    <row r="344" spans="1:15" x14ac:dyDescent="0.25">
      <c r="A344" s="181" t="s">
        <v>6</v>
      </c>
      <c r="B344" s="182"/>
      <c r="C344" s="183"/>
      <c r="D344" s="9" t="s">
        <v>57</v>
      </c>
      <c r="E344" s="9" t="s">
        <v>57</v>
      </c>
      <c r="F344" s="9" t="s">
        <v>57</v>
      </c>
      <c r="G344" s="9" t="s">
        <v>57</v>
      </c>
      <c r="H344" s="9"/>
      <c r="I344" s="15">
        <v>0</v>
      </c>
      <c r="J344" s="15">
        <v>0</v>
      </c>
      <c r="K344" s="15">
        <v>0</v>
      </c>
      <c r="L344" s="15">
        <v>0</v>
      </c>
      <c r="M344" s="192">
        <f t="shared" si="14"/>
        <v>0</v>
      </c>
      <c r="N344" s="193"/>
      <c r="O344" s="4"/>
    </row>
    <row r="345" spans="1:15" x14ac:dyDescent="0.25">
      <c r="A345" s="181" t="s">
        <v>8</v>
      </c>
      <c r="B345" s="182"/>
      <c r="C345" s="183"/>
      <c r="D345" s="9" t="s">
        <v>57</v>
      </c>
      <c r="E345" s="9" t="s">
        <v>57</v>
      </c>
      <c r="F345" s="9" t="s">
        <v>57</v>
      </c>
      <c r="G345" s="9" t="s">
        <v>57</v>
      </c>
      <c r="H345" s="9"/>
      <c r="I345" s="15">
        <v>0</v>
      </c>
      <c r="J345" s="15">
        <v>0</v>
      </c>
      <c r="K345" s="15">
        <v>0</v>
      </c>
      <c r="L345" s="15">
        <v>0</v>
      </c>
      <c r="M345" s="192">
        <f t="shared" si="14"/>
        <v>0</v>
      </c>
      <c r="N345" s="193"/>
      <c r="O345" s="4"/>
    </row>
    <row r="346" spans="1:15" x14ac:dyDescent="0.25">
      <c r="A346" s="181" t="s">
        <v>38</v>
      </c>
      <c r="B346" s="182"/>
      <c r="C346" s="183"/>
      <c r="D346" s="9" t="s">
        <v>57</v>
      </c>
      <c r="E346" s="9" t="s">
        <v>57</v>
      </c>
      <c r="F346" s="9" t="s">
        <v>57</v>
      </c>
      <c r="G346" s="9" t="s">
        <v>57</v>
      </c>
      <c r="H346" s="9"/>
      <c r="I346" s="15">
        <v>0</v>
      </c>
      <c r="J346" s="15">
        <v>0</v>
      </c>
      <c r="K346" s="15">
        <v>0</v>
      </c>
      <c r="L346" s="15">
        <v>0</v>
      </c>
      <c r="M346" s="192">
        <f t="shared" si="14"/>
        <v>0</v>
      </c>
      <c r="N346" s="193"/>
      <c r="O346" s="4"/>
    </row>
    <row r="347" spans="1:15" x14ac:dyDescent="0.25">
      <c r="A347" s="181" t="s">
        <v>7</v>
      </c>
      <c r="B347" s="182"/>
      <c r="C347" s="183"/>
      <c r="D347" s="9" t="s">
        <v>57</v>
      </c>
      <c r="E347" s="9" t="s">
        <v>57</v>
      </c>
      <c r="F347" s="9" t="s">
        <v>57</v>
      </c>
      <c r="G347" s="9" t="s">
        <v>57</v>
      </c>
      <c r="H347" s="9"/>
      <c r="I347" s="15">
        <v>0</v>
      </c>
      <c r="J347" s="15">
        <v>0</v>
      </c>
      <c r="K347" s="15">
        <v>0</v>
      </c>
      <c r="L347" s="15">
        <v>0</v>
      </c>
      <c r="M347" s="192">
        <f t="shared" si="14"/>
        <v>0</v>
      </c>
      <c r="N347" s="193"/>
      <c r="O347" s="4"/>
    </row>
    <row r="348" spans="1:15" x14ac:dyDescent="0.25">
      <c r="A348" s="181" t="s">
        <v>90</v>
      </c>
      <c r="B348" s="182"/>
      <c r="C348" s="183"/>
      <c r="D348" s="9" t="s">
        <v>57</v>
      </c>
      <c r="E348" s="9" t="s">
        <v>57</v>
      </c>
      <c r="F348" s="9" t="s">
        <v>57</v>
      </c>
      <c r="G348" s="9" t="s">
        <v>57</v>
      </c>
      <c r="H348" s="9"/>
      <c r="I348" s="15">
        <v>0</v>
      </c>
      <c r="J348" s="15">
        <v>0</v>
      </c>
      <c r="K348" s="15">
        <v>0</v>
      </c>
      <c r="L348" s="15">
        <v>0</v>
      </c>
      <c r="M348" s="188">
        <f t="shared" si="14"/>
        <v>0</v>
      </c>
      <c r="N348" s="189"/>
      <c r="O348" s="4"/>
    </row>
    <row r="349" spans="1:15" x14ac:dyDescent="0.25">
      <c r="O349" s="4"/>
    </row>
    <row r="350" spans="1:15" ht="15.75" x14ac:dyDescent="0.25">
      <c r="A350" s="177" t="s">
        <v>58</v>
      </c>
      <c r="B350" s="177"/>
      <c r="C350" s="177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4"/>
    </row>
    <row r="351" spans="1:15" x14ac:dyDescent="0.25">
      <c r="A351" s="178"/>
      <c r="B351" s="179"/>
      <c r="C351" s="179"/>
      <c r="D351" s="179"/>
      <c r="E351" s="179"/>
      <c r="F351" s="179"/>
      <c r="G351" s="179"/>
      <c r="H351" s="179"/>
      <c r="I351" s="179"/>
      <c r="J351" s="179"/>
      <c r="K351" s="179"/>
      <c r="L351" s="179"/>
      <c r="M351" s="179"/>
      <c r="N351" s="180"/>
      <c r="O351" s="10">
        <f>A351</f>
        <v>0</v>
      </c>
    </row>
    <row r="352" spans="1:15" x14ac:dyDescent="0.25">
      <c r="A352" s="174" t="s">
        <v>59</v>
      </c>
      <c r="B352" s="174"/>
      <c r="C352" s="174"/>
      <c r="D352" s="174"/>
      <c r="E352" s="174"/>
      <c r="F352" s="174"/>
      <c r="G352" s="174"/>
      <c r="H352" s="174"/>
      <c r="I352" s="174"/>
      <c r="J352" s="174"/>
      <c r="K352" s="174"/>
      <c r="L352" s="174"/>
      <c r="M352" s="174"/>
      <c r="N352" s="174"/>
      <c r="O352" s="10"/>
    </row>
    <row r="353" spans="1:15" x14ac:dyDescent="0.25">
      <c r="A353" s="178"/>
      <c r="B353" s="179"/>
      <c r="C353" s="179"/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O353" s="10">
        <f t="shared" ref="O353:O374" si="15">A353</f>
        <v>0</v>
      </c>
    </row>
    <row r="354" spans="1:15" x14ac:dyDescent="0.25">
      <c r="A354" s="176" t="s">
        <v>60</v>
      </c>
      <c r="B354" s="176"/>
      <c r="C354" s="176"/>
      <c r="D354" s="176"/>
      <c r="E354" s="176"/>
      <c r="F354" s="176"/>
      <c r="G354" s="176"/>
      <c r="H354" s="176"/>
      <c r="I354" s="176"/>
      <c r="J354" s="176"/>
      <c r="K354" s="176"/>
      <c r="L354" s="176"/>
      <c r="M354" s="176" t="s">
        <v>61</v>
      </c>
      <c r="N354" s="176"/>
      <c r="O354" s="10"/>
    </row>
    <row r="355" spans="1:15" x14ac:dyDescent="0.25">
      <c r="A355" s="176" t="s">
        <v>62</v>
      </c>
      <c r="B355" s="176"/>
      <c r="C355" s="176"/>
      <c r="D355" s="176"/>
      <c r="E355" s="176"/>
      <c r="F355" s="176"/>
      <c r="G355" s="176"/>
      <c r="H355" s="176"/>
      <c r="I355" s="176"/>
      <c r="J355" s="176"/>
      <c r="K355" s="176"/>
      <c r="L355" s="176"/>
      <c r="M355" s="176" t="s">
        <v>61</v>
      </c>
      <c r="N355" s="176"/>
      <c r="O355" s="10"/>
    </row>
    <row r="356" spans="1:15" x14ac:dyDescent="0.25">
      <c r="O356" s="10"/>
    </row>
    <row r="357" spans="1:15" ht="15.75" x14ac:dyDescent="0.25">
      <c r="A357" s="184" t="s">
        <v>63</v>
      </c>
      <c r="B357" s="185"/>
      <c r="C357" s="185"/>
      <c r="D357" s="185"/>
      <c r="E357" s="185"/>
      <c r="F357" s="185"/>
      <c r="G357" s="185"/>
      <c r="H357" s="185"/>
      <c r="I357" s="185"/>
      <c r="J357" s="185"/>
      <c r="K357" s="185"/>
      <c r="L357" s="185"/>
      <c r="M357" s="185"/>
      <c r="N357" s="186"/>
      <c r="O357" s="10"/>
    </row>
    <row r="358" spans="1:15" x14ac:dyDescent="0.25">
      <c r="A358" s="178"/>
      <c r="B358" s="179"/>
      <c r="C358" s="179"/>
      <c r="D358" s="179"/>
      <c r="E358" s="179"/>
      <c r="F358" s="179"/>
      <c r="G358" s="179"/>
      <c r="H358" s="179"/>
      <c r="I358" s="179"/>
      <c r="J358" s="179"/>
      <c r="K358" s="179"/>
      <c r="L358" s="179"/>
      <c r="M358" s="179"/>
      <c r="N358" s="179"/>
      <c r="O358" s="10">
        <f t="shared" si="15"/>
        <v>0</v>
      </c>
    </row>
    <row r="359" spans="1:15" x14ac:dyDescent="0.25">
      <c r="A359" s="174" t="s">
        <v>64</v>
      </c>
      <c r="B359" s="174"/>
      <c r="C359" s="174"/>
      <c r="D359" s="174"/>
      <c r="E359" s="174"/>
      <c r="F359" s="174"/>
      <c r="G359" s="174"/>
      <c r="H359" s="174"/>
      <c r="I359" s="174"/>
      <c r="J359" s="174"/>
      <c r="K359" s="174"/>
      <c r="L359" s="174"/>
      <c r="M359" s="174"/>
      <c r="N359" s="174"/>
      <c r="O359" s="10"/>
    </row>
    <row r="360" spans="1:15" x14ac:dyDescent="0.25">
      <c r="A360" s="178"/>
      <c r="B360" s="179"/>
      <c r="C360" s="179"/>
      <c r="D360" s="179"/>
      <c r="E360" s="179"/>
      <c r="F360" s="179"/>
      <c r="G360" s="179"/>
      <c r="H360" s="179"/>
      <c r="I360" s="179"/>
      <c r="J360" s="179"/>
      <c r="K360" s="179"/>
      <c r="L360" s="179"/>
      <c r="M360" s="179"/>
      <c r="N360" s="180"/>
      <c r="O360" s="10">
        <f t="shared" si="15"/>
        <v>0</v>
      </c>
    </row>
    <row r="361" spans="1:15" x14ac:dyDescent="0.25">
      <c r="A361" s="176" t="s">
        <v>60</v>
      </c>
      <c r="B361" s="176"/>
      <c r="C361" s="176"/>
      <c r="D361" s="176"/>
      <c r="E361" s="176"/>
      <c r="F361" s="176"/>
      <c r="G361" s="176"/>
      <c r="H361" s="176"/>
      <c r="I361" s="176"/>
      <c r="J361" s="176"/>
      <c r="K361" s="176"/>
      <c r="L361" s="176"/>
      <c r="M361" s="176" t="s">
        <v>61</v>
      </c>
      <c r="N361" s="176"/>
      <c r="O361" s="10"/>
    </row>
    <row r="362" spans="1:15" x14ac:dyDescent="0.25">
      <c r="A362" s="176" t="s">
        <v>62</v>
      </c>
      <c r="B362" s="176"/>
      <c r="C362" s="176"/>
      <c r="D362" s="176"/>
      <c r="E362" s="176"/>
      <c r="F362" s="176"/>
      <c r="G362" s="176"/>
      <c r="H362" s="176"/>
      <c r="I362" s="176"/>
      <c r="J362" s="176"/>
      <c r="K362" s="176"/>
      <c r="L362" s="176"/>
      <c r="M362" s="176" t="s">
        <v>61</v>
      </c>
      <c r="N362" s="176"/>
      <c r="O362" s="10"/>
    </row>
    <row r="363" spans="1:15" x14ac:dyDescent="0.25">
      <c r="O363" s="10"/>
    </row>
    <row r="364" spans="1:15" ht="15.75" x14ac:dyDescent="0.25">
      <c r="A364" s="177" t="s">
        <v>65</v>
      </c>
      <c r="B364" s="177"/>
      <c r="C364" s="177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0"/>
    </row>
    <row r="365" spans="1:15" x14ac:dyDescent="0.25">
      <c r="A365" s="178"/>
      <c r="B365" s="179"/>
      <c r="C365" s="179"/>
      <c r="D365" s="179"/>
      <c r="E365" s="179"/>
      <c r="F365" s="179"/>
      <c r="G365" s="179"/>
      <c r="H365" s="179"/>
      <c r="I365" s="179"/>
      <c r="J365" s="179"/>
      <c r="K365" s="179"/>
      <c r="L365" s="179"/>
      <c r="M365" s="179"/>
      <c r="N365" s="180"/>
      <c r="O365" s="10">
        <f t="shared" si="15"/>
        <v>0</v>
      </c>
    </row>
    <row r="366" spans="1:15" x14ac:dyDescent="0.25">
      <c r="A366" s="174" t="s">
        <v>66</v>
      </c>
      <c r="B366" s="174"/>
      <c r="C366" s="174"/>
      <c r="D366" s="174"/>
      <c r="E366" s="174"/>
      <c r="F366" s="174"/>
      <c r="G366" s="174"/>
      <c r="H366" s="174"/>
      <c r="I366" s="174"/>
      <c r="J366" s="174"/>
      <c r="K366" s="174"/>
      <c r="L366" s="174"/>
      <c r="M366" s="174"/>
      <c r="N366" s="174"/>
      <c r="O366" s="10"/>
    </row>
    <row r="367" spans="1:15" x14ac:dyDescent="0.25">
      <c r="A367" s="178"/>
      <c r="B367" s="179"/>
      <c r="C367" s="179"/>
      <c r="D367" s="179"/>
      <c r="E367" s="179"/>
      <c r="F367" s="179"/>
      <c r="G367" s="179"/>
      <c r="H367" s="179"/>
      <c r="I367" s="179"/>
      <c r="J367" s="179"/>
      <c r="K367" s="179"/>
      <c r="L367" s="179"/>
      <c r="M367" s="179"/>
      <c r="N367" s="180"/>
      <c r="O367" s="10">
        <f t="shared" si="15"/>
        <v>0</v>
      </c>
    </row>
    <row r="368" spans="1:15" x14ac:dyDescent="0.25">
      <c r="A368" s="187" t="s">
        <v>60</v>
      </c>
      <c r="B368" s="187"/>
      <c r="C368" s="187"/>
      <c r="D368" s="187"/>
      <c r="E368" s="187"/>
      <c r="F368" s="187"/>
      <c r="G368" s="187"/>
      <c r="H368" s="187"/>
      <c r="I368" s="187"/>
      <c r="J368" s="187"/>
      <c r="K368" s="187"/>
      <c r="L368" s="187"/>
      <c r="M368" s="176" t="s">
        <v>61</v>
      </c>
      <c r="N368" s="176"/>
      <c r="O368" s="10"/>
    </row>
    <row r="369" spans="1:15" x14ac:dyDescent="0.25">
      <c r="A369" s="187" t="s">
        <v>62</v>
      </c>
      <c r="B369" s="187"/>
      <c r="C369" s="187"/>
      <c r="D369" s="187"/>
      <c r="E369" s="187"/>
      <c r="F369" s="187"/>
      <c r="G369" s="187"/>
      <c r="H369" s="187"/>
      <c r="I369" s="187"/>
      <c r="J369" s="187"/>
      <c r="K369" s="187"/>
      <c r="L369" s="187"/>
      <c r="M369" s="176" t="s">
        <v>61</v>
      </c>
      <c r="N369" s="176"/>
      <c r="O369" s="10"/>
    </row>
    <row r="370" spans="1:15" x14ac:dyDescent="0.25">
      <c r="O370" s="10"/>
    </row>
    <row r="371" spans="1:15" ht="15.75" x14ac:dyDescent="0.25">
      <c r="A371" s="184" t="s">
        <v>67</v>
      </c>
      <c r="B371" s="185"/>
      <c r="C371" s="185"/>
      <c r="D371" s="185"/>
      <c r="E371" s="185"/>
      <c r="F371" s="185"/>
      <c r="G371" s="185"/>
      <c r="H371" s="185"/>
      <c r="I371" s="185"/>
      <c r="J371" s="185"/>
      <c r="K371" s="185"/>
      <c r="L371" s="185"/>
      <c r="M371" s="185"/>
      <c r="N371" s="186"/>
      <c r="O371" s="10"/>
    </row>
    <row r="372" spans="1:15" x14ac:dyDescent="0.25">
      <c r="A372" s="178"/>
      <c r="B372" s="179"/>
      <c r="C372" s="179"/>
      <c r="D372" s="179"/>
      <c r="E372" s="179"/>
      <c r="F372" s="179"/>
      <c r="G372" s="179"/>
      <c r="H372" s="179"/>
      <c r="I372" s="179"/>
      <c r="J372" s="179"/>
      <c r="K372" s="179"/>
      <c r="L372" s="179"/>
      <c r="M372" s="179"/>
      <c r="N372" s="180"/>
      <c r="O372" s="10">
        <f t="shared" si="15"/>
        <v>0</v>
      </c>
    </row>
    <row r="373" spans="1:15" x14ac:dyDescent="0.25">
      <c r="A373" s="174" t="s">
        <v>68</v>
      </c>
      <c r="B373" s="174"/>
      <c r="C373" s="174"/>
      <c r="D373" s="174"/>
      <c r="E373" s="174"/>
      <c r="F373" s="174"/>
      <c r="G373" s="174"/>
      <c r="H373" s="174"/>
      <c r="I373" s="174"/>
      <c r="J373" s="174"/>
      <c r="K373" s="174"/>
      <c r="L373" s="174"/>
      <c r="M373" s="174"/>
      <c r="N373" s="174"/>
      <c r="O373" s="10"/>
    </row>
    <row r="374" spans="1:15" x14ac:dyDescent="0.25">
      <c r="A374" s="178"/>
      <c r="B374" s="179"/>
      <c r="C374" s="179"/>
      <c r="D374" s="179"/>
      <c r="E374" s="179"/>
      <c r="F374" s="179"/>
      <c r="G374" s="179"/>
      <c r="H374" s="179"/>
      <c r="I374" s="179"/>
      <c r="J374" s="179"/>
      <c r="K374" s="179"/>
      <c r="L374" s="179"/>
      <c r="M374" s="179"/>
      <c r="N374" s="180"/>
      <c r="O374" s="10">
        <f t="shared" si="15"/>
        <v>0</v>
      </c>
    </row>
    <row r="375" spans="1:15" x14ac:dyDescent="0.25">
      <c r="A375" s="176" t="s">
        <v>60</v>
      </c>
      <c r="B375" s="176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 t="s">
        <v>61</v>
      </c>
      <c r="N375" s="176"/>
      <c r="O375" s="10"/>
    </row>
    <row r="376" spans="1:15" x14ac:dyDescent="0.25">
      <c r="A376" s="176" t="s">
        <v>62</v>
      </c>
      <c r="B376" s="176"/>
      <c r="C376" s="176"/>
      <c r="D376" s="176"/>
      <c r="E376" s="176"/>
      <c r="F376" s="176"/>
      <c r="G376" s="176"/>
      <c r="H376" s="176"/>
      <c r="I376" s="176"/>
      <c r="J376" s="176"/>
      <c r="K376" s="176"/>
      <c r="L376" s="176"/>
      <c r="M376" s="176" t="s">
        <v>61</v>
      </c>
      <c r="N376" s="176"/>
      <c r="O376" s="10"/>
    </row>
    <row r="377" spans="1:15" x14ac:dyDescent="0.25">
      <c r="A377" s="209" t="s">
        <v>91</v>
      </c>
      <c r="B377" s="209"/>
      <c r="C377" s="209"/>
      <c r="D377" s="209"/>
      <c r="E377" s="209"/>
      <c r="F377" s="209"/>
      <c r="G377" s="209"/>
      <c r="H377" s="209"/>
      <c r="I377" s="209"/>
      <c r="J377" s="209"/>
      <c r="K377" s="209"/>
      <c r="L377" s="209"/>
      <c r="M377" s="209"/>
      <c r="N377" s="209"/>
      <c r="O377" s="4"/>
    </row>
    <row r="378" spans="1:15" x14ac:dyDescent="0.25">
      <c r="A378" s="209" t="s">
        <v>89</v>
      </c>
      <c r="B378" s="209"/>
      <c r="C378" s="209"/>
      <c r="D378" s="209"/>
      <c r="E378" s="209"/>
      <c r="F378" s="209"/>
      <c r="G378" s="209"/>
      <c r="H378" s="209"/>
      <c r="I378" s="209"/>
      <c r="J378" s="209"/>
      <c r="K378" s="209"/>
      <c r="L378" s="209"/>
      <c r="M378" s="209"/>
      <c r="N378" s="209"/>
      <c r="O378" s="4"/>
    </row>
    <row r="379" spans="1:15" x14ac:dyDescent="0.25">
      <c r="A379" s="209" t="s">
        <v>44</v>
      </c>
      <c r="B379" s="209"/>
      <c r="C379" s="209"/>
      <c r="D379" s="209"/>
      <c r="E379" s="209"/>
      <c r="F379" s="209"/>
      <c r="G379" s="209"/>
      <c r="H379" s="209"/>
      <c r="I379" s="209"/>
      <c r="J379" s="209"/>
      <c r="K379" s="209"/>
      <c r="L379" s="209"/>
      <c r="M379" s="209"/>
      <c r="N379" s="209"/>
      <c r="O379" s="4"/>
    </row>
    <row r="380" spans="1:15" ht="15.75" x14ac:dyDescent="0.25">
      <c r="A380" s="210" t="s">
        <v>72</v>
      </c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4"/>
    </row>
    <row r="381" spans="1:15" ht="15.75" x14ac:dyDescent="0.25">
      <c r="A381" s="211" t="s">
        <v>125</v>
      </c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4"/>
    </row>
    <row r="382" spans="1:15" ht="15.75" x14ac:dyDescent="0.25">
      <c r="A382" s="5" t="s">
        <v>46</v>
      </c>
      <c r="B382" s="208" t="s">
        <v>123</v>
      </c>
      <c r="C382" s="208"/>
      <c r="D382" s="208"/>
      <c r="E382" s="208"/>
      <c r="F382" s="208"/>
      <c r="G382" s="208"/>
      <c r="H382" s="208"/>
      <c r="I382" s="208"/>
      <c r="J382" s="208"/>
      <c r="K382" s="208"/>
      <c r="L382" s="208"/>
      <c r="M382" s="208"/>
      <c r="N382" s="208"/>
      <c r="O382" s="4"/>
    </row>
    <row r="383" spans="1:15" ht="15.75" x14ac:dyDescent="0.25">
      <c r="A383" s="5" t="s">
        <v>47</v>
      </c>
      <c r="B383" s="175" t="s">
        <v>101</v>
      </c>
      <c r="C383" s="175"/>
      <c r="D383" s="175"/>
      <c r="E383" s="175"/>
      <c r="F383" s="175"/>
      <c r="G383" s="175"/>
      <c r="H383" s="175"/>
      <c r="I383" s="175"/>
      <c r="J383" s="175"/>
      <c r="K383" s="175"/>
      <c r="L383" s="174" t="s">
        <v>74</v>
      </c>
      <c r="M383" s="174"/>
      <c r="N383" s="34">
        <v>16423.023080653868</v>
      </c>
      <c r="O383" s="4"/>
    </row>
    <row r="384" spans="1:15" x14ac:dyDescent="0.25">
      <c r="A384" s="6" t="s">
        <v>21</v>
      </c>
      <c r="B384" s="7" t="s">
        <v>92</v>
      </c>
      <c r="C384" s="6" t="s">
        <v>22</v>
      </c>
      <c r="D384" s="7">
        <v>2020</v>
      </c>
      <c r="E384" s="194" t="s">
        <v>20</v>
      </c>
      <c r="F384" s="194"/>
      <c r="G384" s="194"/>
      <c r="H384" s="195" t="s">
        <v>124</v>
      </c>
      <c r="I384" s="196"/>
      <c r="J384" s="196"/>
      <c r="K384" s="196"/>
      <c r="L384" s="196"/>
      <c r="M384" s="196"/>
      <c r="N384" s="197"/>
      <c r="O384" s="4"/>
    </row>
    <row r="385" spans="1:15" x14ac:dyDescent="0.25">
      <c r="A385" s="198" t="s">
        <v>48</v>
      </c>
      <c r="B385" s="199"/>
      <c r="C385" s="200"/>
      <c r="D385" s="204" t="s">
        <v>49</v>
      </c>
      <c r="E385" s="205"/>
      <c r="F385" s="205"/>
      <c r="G385" s="205"/>
      <c r="H385" s="206"/>
      <c r="I385" s="207" t="s">
        <v>50</v>
      </c>
      <c r="J385" s="207"/>
      <c r="K385" s="207"/>
      <c r="L385" s="207"/>
      <c r="M385" s="207"/>
      <c r="N385" s="207"/>
      <c r="O385" s="4"/>
    </row>
    <row r="386" spans="1:15" ht="30" x14ac:dyDescent="0.25">
      <c r="A386" s="201"/>
      <c r="B386" s="202"/>
      <c r="C386" s="203"/>
      <c r="D386" s="8" t="s">
        <v>51</v>
      </c>
      <c r="E386" s="8" t="s">
        <v>52</v>
      </c>
      <c r="F386" s="8" t="s">
        <v>53</v>
      </c>
      <c r="G386" s="8" t="s">
        <v>54</v>
      </c>
      <c r="H386" s="8" t="s">
        <v>55</v>
      </c>
      <c r="I386" s="33" t="s">
        <v>51</v>
      </c>
      <c r="J386" s="33" t="s">
        <v>52</v>
      </c>
      <c r="K386" s="33" t="s">
        <v>53</v>
      </c>
      <c r="L386" s="33" t="s">
        <v>54</v>
      </c>
      <c r="M386" s="201" t="s">
        <v>56</v>
      </c>
      <c r="N386" s="203"/>
      <c r="O386" s="4"/>
    </row>
    <row r="387" spans="1:15" x14ac:dyDescent="0.25">
      <c r="A387" s="181" t="s">
        <v>2</v>
      </c>
      <c r="B387" s="182"/>
      <c r="C387" s="183"/>
      <c r="D387" s="9" t="s">
        <v>57</v>
      </c>
      <c r="E387" s="9" t="s">
        <v>57</v>
      </c>
      <c r="F387" s="9" t="s">
        <v>57</v>
      </c>
      <c r="G387" s="9" t="s">
        <v>57</v>
      </c>
      <c r="H387" s="9"/>
      <c r="I387" s="15">
        <v>0</v>
      </c>
      <c r="J387" s="15">
        <v>0</v>
      </c>
      <c r="K387" s="15">
        <v>0</v>
      </c>
      <c r="L387" s="15">
        <v>0</v>
      </c>
      <c r="M387" s="190">
        <f>I387+J387+K387+L387</f>
        <v>0</v>
      </c>
      <c r="N387" s="191"/>
      <c r="O387" s="4"/>
    </row>
    <row r="388" spans="1:15" x14ac:dyDescent="0.25">
      <c r="A388" s="181" t="s">
        <v>3</v>
      </c>
      <c r="B388" s="182"/>
      <c r="C388" s="183"/>
      <c r="D388" s="9" t="s">
        <v>57</v>
      </c>
      <c r="E388" s="9" t="s">
        <v>57</v>
      </c>
      <c r="F388" s="9" t="s">
        <v>57</v>
      </c>
      <c r="G388" s="9" t="s">
        <v>57</v>
      </c>
      <c r="H388" s="9"/>
      <c r="I388" s="15">
        <v>0</v>
      </c>
      <c r="J388" s="15">
        <v>0</v>
      </c>
      <c r="K388" s="15">
        <v>0</v>
      </c>
      <c r="L388" s="15">
        <v>0</v>
      </c>
      <c r="M388" s="192">
        <f t="shared" ref="M388:M395" si="16">I388+J388+K388+L388</f>
        <v>0</v>
      </c>
      <c r="N388" s="193"/>
      <c r="O388" s="4"/>
    </row>
    <row r="389" spans="1:15" x14ac:dyDescent="0.25">
      <c r="A389" s="181" t="s">
        <v>4</v>
      </c>
      <c r="B389" s="182"/>
      <c r="C389" s="183"/>
      <c r="D389" s="9" t="s">
        <v>57</v>
      </c>
      <c r="E389" s="9" t="s">
        <v>57</v>
      </c>
      <c r="F389" s="9" t="s">
        <v>57</v>
      </c>
      <c r="G389" s="9" t="s">
        <v>57</v>
      </c>
      <c r="H389" s="9"/>
      <c r="I389" s="15">
        <v>0</v>
      </c>
      <c r="J389" s="15">
        <v>0</v>
      </c>
      <c r="K389" s="15">
        <v>0</v>
      </c>
      <c r="L389" s="15">
        <v>0</v>
      </c>
      <c r="M389" s="192">
        <f t="shared" si="16"/>
        <v>0</v>
      </c>
      <c r="N389" s="193"/>
      <c r="O389" s="4"/>
    </row>
    <row r="390" spans="1:15" x14ac:dyDescent="0.25">
      <c r="A390" s="181" t="s">
        <v>5</v>
      </c>
      <c r="B390" s="182"/>
      <c r="C390" s="183"/>
      <c r="D390" s="9" t="s">
        <v>57</v>
      </c>
      <c r="E390" s="9" t="s">
        <v>57</v>
      </c>
      <c r="F390" s="9" t="s">
        <v>57</v>
      </c>
      <c r="G390" s="9" t="s">
        <v>57</v>
      </c>
      <c r="H390" s="9"/>
      <c r="I390" s="15">
        <v>0</v>
      </c>
      <c r="J390" s="15">
        <v>0</v>
      </c>
      <c r="K390" s="15">
        <v>0</v>
      </c>
      <c r="L390" s="15">
        <v>0</v>
      </c>
      <c r="M390" s="192">
        <f t="shared" si="16"/>
        <v>0</v>
      </c>
      <c r="N390" s="193"/>
      <c r="O390" s="4"/>
    </row>
    <row r="391" spans="1:15" x14ac:dyDescent="0.25">
      <c r="A391" s="181" t="s">
        <v>6</v>
      </c>
      <c r="B391" s="182"/>
      <c r="C391" s="183"/>
      <c r="D391" s="9" t="s">
        <v>57</v>
      </c>
      <c r="E391" s="9" t="s">
        <v>57</v>
      </c>
      <c r="F391" s="9" t="s">
        <v>57</v>
      </c>
      <c r="G391" s="9" t="s">
        <v>57</v>
      </c>
      <c r="H391" s="9"/>
      <c r="I391" s="15">
        <v>0</v>
      </c>
      <c r="J391" s="15">
        <v>0</v>
      </c>
      <c r="K391" s="15">
        <v>0</v>
      </c>
      <c r="L391" s="15">
        <v>0</v>
      </c>
      <c r="M391" s="192">
        <f t="shared" si="16"/>
        <v>0</v>
      </c>
      <c r="N391" s="193"/>
      <c r="O391" s="4"/>
    </row>
    <row r="392" spans="1:15" x14ac:dyDescent="0.25">
      <c r="A392" s="181" t="s">
        <v>8</v>
      </c>
      <c r="B392" s="182"/>
      <c r="C392" s="183"/>
      <c r="D392" s="9" t="s">
        <v>57</v>
      </c>
      <c r="E392" s="9" t="s">
        <v>57</v>
      </c>
      <c r="F392" s="9" t="s">
        <v>57</v>
      </c>
      <c r="G392" s="9" t="s">
        <v>57</v>
      </c>
      <c r="H392" s="9"/>
      <c r="I392" s="15">
        <v>0</v>
      </c>
      <c r="J392" s="15">
        <v>0</v>
      </c>
      <c r="K392" s="15">
        <v>0</v>
      </c>
      <c r="L392" s="15">
        <v>0</v>
      </c>
      <c r="M392" s="192">
        <f t="shared" si="16"/>
        <v>0</v>
      </c>
      <c r="N392" s="193"/>
      <c r="O392" s="4"/>
    </row>
    <row r="393" spans="1:15" x14ac:dyDescent="0.25">
      <c r="A393" s="181" t="s">
        <v>38</v>
      </c>
      <c r="B393" s="182"/>
      <c r="C393" s="183"/>
      <c r="D393" s="9" t="s">
        <v>57</v>
      </c>
      <c r="E393" s="9" t="s">
        <v>57</v>
      </c>
      <c r="F393" s="9" t="s">
        <v>57</v>
      </c>
      <c r="G393" s="9" t="s">
        <v>57</v>
      </c>
      <c r="H393" s="9"/>
      <c r="I393" s="15">
        <v>0</v>
      </c>
      <c r="J393" s="15">
        <v>0</v>
      </c>
      <c r="K393" s="15">
        <v>0</v>
      </c>
      <c r="L393" s="15">
        <v>0</v>
      </c>
      <c r="M393" s="192">
        <f t="shared" si="16"/>
        <v>0</v>
      </c>
      <c r="N393" s="193"/>
      <c r="O393" s="4"/>
    </row>
    <row r="394" spans="1:15" x14ac:dyDescent="0.25">
      <c r="A394" s="181" t="s">
        <v>7</v>
      </c>
      <c r="B394" s="182"/>
      <c r="C394" s="183"/>
      <c r="D394" s="9" t="s">
        <v>57</v>
      </c>
      <c r="E394" s="9" t="s">
        <v>57</v>
      </c>
      <c r="F394" s="9" t="s">
        <v>57</v>
      </c>
      <c r="G394" s="9" t="s">
        <v>57</v>
      </c>
      <c r="H394" s="9"/>
      <c r="I394" s="15">
        <v>0</v>
      </c>
      <c r="J394" s="15">
        <v>0</v>
      </c>
      <c r="K394" s="15">
        <v>0</v>
      </c>
      <c r="L394" s="15">
        <v>0</v>
      </c>
      <c r="M394" s="192">
        <f t="shared" si="16"/>
        <v>0</v>
      </c>
      <c r="N394" s="193"/>
      <c r="O394" s="4"/>
    </row>
    <row r="395" spans="1:15" x14ac:dyDescent="0.25">
      <c r="A395" s="181" t="s">
        <v>90</v>
      </c>
      <c r="B395" s="182"/>
      <c r="C395" s="183"/>
      <c r="D395" s="9" t="s">
        <v>57</v>
      </c>
      <c r="E395" s="9" t="s">
        <v>57</v>
      </c>
      <c r="F395" s="9" t="s">
        <v>57</v>
      </c>
      <c r="G395" s="9" t="s">
        <v>57</v>
      </c>
      <c r="H395" s="9"/>
      <c r="I395" s="15">
        <v>0</v>
      </c>
      <c r="J395" s="15">
        <v>0</v>
      </c>
      <c r="K395" s="15">
        <v>0</v>
      </c>
      <c r="L395" s="15">
        <v>0</v>
      </c>
      <c r="M395" s="188">
        <f t="shared" si="16"/>
        <v>0</v>
      </c>
      <c r="N395" s="189"/>
      <c r="O395" s="4"/>
    </row>
    <row r="396" spans="1:15" x14ac:dyDescent="0.25">
      <c r="O396" s="4"/>
    </row>
    <row r="397" spans="1:15" ht="15.75" x14ac:dyDescent="0.25">
      <c r="A397" s="177" t="s">
        <v>58</v>
      </c>
      <c r="B397" s="177"/>
      <c r="C397" s="177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4"/>
    </row>
    <row r="398" spans="1:15" x14ac:dyDescent="0.25">
      <c r="A398" s="178"/>
      <c r="B398" s="179"/>
      <c r="C398" s="179"/>
      <c r="D398" s="179"/>
      <c r="E398" s="179"/>
      <c r="F398" s="179"/>
      <c r="G398" s="179"/>
      <c r="H398" s="179"/>
      <c r="I398" s="179"/>
      <c r="J398" s="179"/>
      <c r="K398" s="179"/>
      <c r="L398" s="179"/>
      <c r="M398" s="179"/>
      <c r="N398" s="180"/>
      <c r="O398" s="10">
        <f>A398</f>
        <v>0</v>
      </c>
    </row>
    <row r="399" spans="1:15" x14ac:dyDescent="0.25">
      <c r="A399" s="174" t="s">
        <v>59</v>
      </c>
      <c r="B399" s="174"/>
      <c r="C399" s="174"/>
      <c r="D399" s="174"/>
      <c r="E399" s="174"/>
      <c r="F399" s="174"/>
      <c r="G399" s="174"/>
      <c r="H399" s="174"/>
      <c r="I399" s="174"/>
      <c r="J399" s="174"/>
      <c r="K399" s="174"/>
      <c r="L399" s="174"/>
      <c r="M399" s="174"/>
      <c r="N399" s="174"/>
      <c r="O399" s="10"/>
    </row>
    <row r="400" spans="1:15" x14ac:dyDescent="0.25">
      <c r="A400" s="178"/>
      <c r="B400" s="179"/>
      <c r="C400" s="179"/>
      <c r="D400" s="179"/>
      <c r="E400" s="179"/>
      <c r="F400" s="179"/>
      <c r="G400" s="179"/>
      <c r="H400" s="179"/>
      <c r="I400" s="179"/>
      <c r="J400" s="179"/>
      <c r="K400" s="179"/>
      <c r="L400" s="179"/>
      <c r="M400" s="179"/>
      <c r="N400" s="180"/>
      <c r="O400" s="10">
        <f t="shared" ref="O400:O421" si="17">A400</f>
        <v>0</v>
      </c>
    </row>
    <row r="401" spans="1:15" x14ac:dyDescent="0.25">
      <c r="A401" s="176" t="s">
        <v>60</v>
      </c>
      <c r="B401" s="176"/>
      <c r="C401" s="176"/>
      <c r="D401" s="176"/>
      <c r="E401" s="176"/>
      <c r="F401" s="176"/>
      <c r="G401" s="176"/>
      <c r="H401" s="176"/>
      <c r="I401" s="176"/>
      <c r="J401" s="176"/>
      <c r="K401" s="176"/>
      <c r="L401" s="176"/>
      <c r="M401" s="176" t="s">
        <v>61</v>
      </c>
      <c r="N401" s="176"/>
      <c r="O401" s="10"/>
    </row>
    <row r="402" spans="1:15" x14ac:dyDescent="0.25">
      <c r="A402" s="176" t="s">
        <v>62</v>
      </c>
      <c r="B402" s="176"/>
      <c r="C402" s="176"/>
      <c r="D402" s="176"/>
      <c r="E402" s="176"/>
      <c r="F402" s="176"/>
      <c r="G402" s="176"/>
      <c r="H402" s="176"/>
      <c r="I402" s="176"/>
      <c r="J402" s="176"/>
      <c r="K402" s="176"/>
      <c r="L402" s="176"/>
      <c r="M402" s="176" t="s">
        <v>61</v>
      </c>
      <c r="N402" s="176"/>
      <c r="O402" s="10"/>
    </row>
    <row r="403" spans="1:15" x14ac:dyDescent="0.25">
      <c r="O403" s="10"/>
    </row>
    <row r="404" spans="1:15" ht="15.75" x14ac:dyDescent="0.25">
      <c r="A404" s="184" t="s">
        <v>63</v>
      </c>
      <c r="B404" s="185"/>
      <c r="C404" s="185"/>
      <c r="D404" s="185"/>
      <c r="E404" s="185"/>
      <c r="F404" s="185"/>
      <c r="G404" s="185"/>
      <c r="H404" s="185"/>
      <c r="I404" s="185"/>
      <c r="J404" s="185"/>
      <c r="K404" s="185"/>
      <c r="L404" s="185"/>
      <c r="M404" s="185"/>
      <c r="N404" s="186"/>
      <c r="O404" s="10"/>
    </row>
    <row r="405" spans="1:15" x14ac:dyDescent="0.25">
      <c r="A405" s="178"/>
      <c r="B405" s="179"/>
      <c r="C405" s="179"/>
      <c r="D405" s="179"/>
      <c r="E405" s="179"/>
      <c r="F405" s="179"/>
      <c r="G405" s="179"/>
      <c r="H405" s="179"/>
      <c r="I405" s="179"/>
      <c r="J405" s="179"/>
      <c r="K405" s="179"/>
      <c r="L405" s="179"/>
      <c r="M405" s="179"/>
      <c r="N405" s="179"/>
      <c r="O405" s="10">
        <f t="shared" si="17"/>
        <v>0</v>
      </c>
    </row>
    <row r="406" spans="1:15" x14ac:dyDescent="0.25">
      <c r="A406" s="174" t="s">
        <v>64</v>
      </c>
      <c r="B406" s="174"/>
      <c r="C406" s="174"/>
      <c r="D406" s="174"/>
      <c r="E406" s="174"/>
      <c r="F406" s="174"/>
      <c r="G406" s="174"/>
      <c r="H406" s="174"/>
      <c r="I406" s="174"/>
      <c r="J406" s="174"/>
      <c r="K406" s="174"/>
      <c r="L406" s="174"/>
      <c r="M406" s="174"/>
      <c r="N406" s="174"/>
      <c r="O406" s="10"/>
    </row>
    <row r="407" spans="1:15" x14ac:dyDescent="0.25">
      <c r="A407" s="178"/>
      <c r="B407" s="179"/>
      <c r="C407" s="179"/>
      <c r="D407" s="179"/>
      <c r="E407" s="179"/>
      <c r="F407" s="179"/>
      <c r="G407" s="179"/>
      <c r="H407" s="179"/>
      <c r="I407" s="179"/>
      <c r="J407" s="179"/>
      <c r="K407" s="179"/>
      <c r="L407" s="179"/>
      <c r="M407" s="179"/>
      <c r="N407" s="180"/>
      <c r="O407" s="10">
        <f t="shared" si="17"/>
        <v>0</v>
      </c>
    </row>
    <row r="408" spans="1:15" x14ac:dyDescent="0.25">
      <c r="A408" s="176" t="s">
        <v>60</v>
      </c>
      <c r="B408" s="176"/>
      <c r="C408" s="176"/>
      <c r="D408" s="176"/>
      <c r="E408" s="176"/>
      <c r="F408" s="176"/>
      <c r="G408" s="176"/>
      <c r="H408" s="176"/>
      <c r="I408" s="176"/>
      <c r="J408" s="176"/>
      <c r="K408" s="176"/>
      <c r="L408" s="176"/>
      <c r="M408" s="176" t="s">
        <v>61</v>
      </c>
      <c r="N408" s="176"/>
      <c r="O408" s="10"/>
    </row>
    <row r="409" spans="1:15" x14ac:dyDescent="0.25">
      <c r="A409" s="176" t="s">
        <v>62</v>
      </c>
      <c r="B409" s="176"/>
      <c r="C409" s="176"/>
      <c r="D409" s="176"/>
      <c r="E409" s="176"/>
      <c r="F409" s="176"/>
      <c r="G409" s="176"/>
      <c r="H409" s="176"/>
      <c r="I409" s="176"/>
      <c r="J409" s="176"/>
      <c r="K409" s="176"/>
      <c r="L409" s="176"/>
      <c r="M409" s="176" t="s">
        <v>61</v>
      </c>
      <c r="N409" s="176"/>
      <c r="O409" s="10"/>
    </row>
    <row r="410" spans="1:15" x14ac:dyDescent="0.25">
      <c r="O410" s="10"/>
    </row>
    <row r="411" spans="1:15" ht="15.75" x14ac:dyDescent="0.25">
      <c r="A411" s="177" t="s">
        <v>65</v>
      </c>
      <c r="B411" s="177"/>
      <c r="C411" s="177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0"/>
    </row>
    <row r="412" spans="1:15" x14ac:dyDescent="0.25">
      <c r="A412" s="178"/>
      <c r="B412" s="179"/>
      <c r="C412" s="179"/>
      <c r="D412" s="179"/>
      <c r="E412" s="179"/>
      <c r="F412" s="179"/>
      <c r="G412" s="179"/>
      <c r="H412" s="179"/>
      <c r="I412" s="179"/>
      <c r="J412" s="179"/>
      <c r="K412" s="179"/>
      <c r="L412" s="179"/>
      <c r="M412" s="179"/>
      <c r="N412" s="180"/>
      <c r="O412" s="10">
        <f t="shared" si="17"/>
        <v>0</v>
      </c>
    </row>
    <row r="413" spans="1:15" x14ac:dyDescent="0.25">
      <c r="A413" s="174" t="s">
        <v>66</v>
      </c>
      <c r="B413" s="174"/>
      <c r="C413" s="174"/>
      <c r="D413" s="174"/>
      <c r="E413" s="174"/>
      <c r="F413" s="174"/>
      <c r="G413" s="174"/>
      <c r="H413" s="174"/>
      <c r="I413" s="174"/>
      <c r="J413" s="174"/>
      <c r="K413" s="174"/>
      <c r="L413" s="174"/>
      <c r="M413" s="174"/>
      <c r="N413" s="174"/>
      <c r="O413" s="10"/>
    </row>
    <row r="414" spans="1:15" x14ac:dyDescent="0.25">
      <c r="A414" s="178"/>
      <c r="B414" s="179"/>
      <c r="C414" s="179"/>
      <c r="D414" s="179"/>
      <c r="E414" s="179"/>
      <c r="F414" s="179"/>
      <c r="G414" s="179"/>
      <c r="H414" s="179"/>
      <c r="I414" s="179"/>
      <c r="J414" s="179"/>
      <c r="K414" s="179"/>
      <c r="L414" s="179"/>
      <c r="M414" s="179"/>
      <c r="N414" s="180"/>
      <c r="O414" s="10">
        <f t="shared" si="17"/>
        <v>0</v>
      </c>
    </row>
    <row r="415" spans="1:15" x14ac:dyDescent="0.25">
      <c r="A415" s="187" t="s">
        <v>60</v>
      </c>
      <c r="B415" s="187"/>
      <c r="C415" s="187"/>
      <c r="D415" s="187"/>
      <c r="E415" s="187"/>
      <c r="F415" s="187"/>
      <c r="G415" s="187"/>
      <c r="H415" s="187"/>
      <c r="I415" s="187"/>
      <c r="J415" s="187"/>
      <c r="K415" s="187"/>
      <c r="L415" s="187"/>
      <c r="M415" s="176" t="s">
        <v>61</v>
      </c>
      <c r="N415" s="176"/>
      <c r="O415" s="10"/>
    </row>
    <row r="416" spans="1:15" x14ac:dyDescent="0.25">
      <c r="A416" s="187" t="s">
        <v>62</v>
      </c>
      <c r="B416" s="187"/>
      <c r="C416" s="187"/>
      <c r="D416" s="187"/>
      <c r="E416" s="187"/>
      <c r="F416" s="187"/>
      <c r="G416" s="187"/>
      <c r="H416" s="187"/>
      <c r="I416" s="187"/>
      <c r="J416" s="187"/>
      <c r="K416" s="187"/>
      <c r="L416" s="187"/>
      <c r="M416" s="176" t="s">
        <v>61</v>
      </c>
      <c r="N416" s="176"/>
      <c r="O416" s="10"/>
    </row>
    <row r="417" spans="1:15" x14ac:dyDescent="0.25">
      <c r="O417" s="10"/>
    </row>
    <row r="418" spans="1:15" ht="15.75" x14ac:dyDescent="0.25">
      <c r="A418" s="184" t="s">
        <v>67</v>
      </c>
      <c r="B418" s="185"/>
      <c r="C418" s="185"/>
      <c r="D418" s="185"/>
      <c r="E418" s="185"/>
      <c r="F418" s="185"/>
      <c r="G418" s="185"/>
      <c r="H418" s="185"/>
      <c r="I418" s="185"/>
      <c r="J418" s="185"/>
      <c r="K418" s="185"/>
      <c r="L418" s="185"/>
      <c r="M418" s="185"/>
      <c r="N418" s="186"/>
      <c r="O418" s="10"/>
    </row>
    <row r="419" spans="1:15" x14ac:dyDescent="0.25">
      <c r="A419" s="178"/>
      <c r="B419" s="179"/>
      <c r="C419" s="179"/>
      <c r="D419" s="179"/>
      <c r="E419" s="179"/>
      <c r="F419" s="179"/>
      <c r="G419" s="179"/>
      <c r="H419" s="179"/>
      <c r="I419" s="179"/>
      <c r="J419" s="179"/>
      <c r="K419" s="179"/>
      <c r="L419" s="179"/>
      <c r="M419" s="179"/>
      <c r="N419" s="180"/>
      <c r="O419" s="10">
        <f t="shared" si="17"/>
        <v>0</v>
      </c>
    </row>
    <row r="420" spans="1:15" x14ac:dyDescent="0.25">
      <c r="A420" s="174" t="s">
        <v>68</v>
      </c>
      <c r="B420" s="174"/>
      <c r="C420" s="174"/>
      <c r="D420" s="174"/>
      <c r="E420" s="174"/>
      <c r="F420" s="174"/>
      <c r="G420" s="174"/>
      <c r="H420" s="174"/>
      <c r="I420" s="174"/>
      <c r="J420" s="174"/>
      <c r="K420" s="174"/>
      <c r="L420" s="174"/>
      <c r="M420" s="174"/>
      <c r="N420" s="174"/>
      <c r="O420" s="10"/>
    </row>
    <row r="421" spans="1:15" x14ac:dyDescent="0.25">
      <c r="A421" s="178"/>
      <c r="B421" s="179"/>
      <c r="C421" s="179"/>
      <c r="D421" s="179"/>
      <c r="E421" s="179"/>
      <c r="F421" s="179"/>
      <c r="G421" s="179"/>
      <c r="H421" s="179"/>
      <c r="I421" s="179"/>
      <c r="J421" s="179"/>
      <c r="K421" s="179"/>
      <c r="L421" s="179"/>
      <c r="M421" s="179"/>
      <c r="N421" s="180"/>
      <c r="O421" s="10">
        <f t="shared" si="17"/>
        <v>0</v>
      </c>
    </row>
    <row r="422" spans="1:15" x14ac:dyDescent="0.25">
      <c r="A422" s="176" t="s">
        <v>60</v>
      </c>
      <c r="B422" s="176"/>
      <c r="C422" s="176"/>
      <c r="D422" s="176"/>
      <c r="E422" s="176"/>
      <c r="F422" s="176"/>
      <c r="G422" s="176"/>
      <c r="H422" s="176"/>
      <c r="I422" s="176"/>
      <c r="J422" s="176"/>
      <c r="K422" s="176"/>
      <c r="L422" s="176"/>
      <c r="M422" s="176" t="s">
        <v>61</v>
      </c>
      <c r="N422" s="176"/>
      <c r="O422" s="10"/>
    </row>
    <row r="423" spans="1:15" x14ac:dyDescent="0.25">
      <c r="A423" s="176" t="s">
        <v>62</v>
      </c>
      <c r="B423" s="176"/>
      <c r="C423" s="176"/>
      <c r="D423" s="176"/>
      <c r="E423" s="176"/>
      <c r="F423" s="176"/>
      <c r="G423" s="176"/>
      <c r="H423" s="176"/>
      <c r="I423" s="176"/>
      <c r="J423" s="176"/>
      <c r="K423" s="176"/>
      <c r="L423" s="176"/>
      <c r="M423" s="176" t="s">
        <v>61</v>
      </c>
      <c r="N423" s="176"/>
      <c r="O423" s="10"/>
    </row>
    <row r="424" spans="1:15" x14ac:dyDescent="0.25">
      <c r="A424" s="209" t="s">
        <v>91</v>
      </c>
      <c r="B424" s="209"/>
      <c r="C424" s="209"/>
      <c r="D424" s="209"/>
      <c r="E424" s="209"/>
      <c r="F424" s="209"/>
      <c r="G424" s="209"/>
      <c r="H424" s="209"/>
      <c r="I424" s="209"/>
      <c r="J424" s="209"/>
      <c r="K424" s="209"/>
      <c r="L424" s="209"/>
      <c r="M424" s="209"/>
      <c r="N424" s="209"/>
      <c r="O424" s="4"/>
    </row>
    <row r="425" spans="1:15" x14ac:dyDescent="0.25">
      <c r="A425" s="209" t="s">
        <v>89</v>
      </c>
      <c r="B425" s="209"/>
      <c r="C425" s="209"/>
      <c r="D425" s="209"/>
      <c r="E425" s="209"/>
      <c r="F425" s="209"/>
      <c r="G425" s="209"/>
      <c r="H425" s="209"/>
      <c r="I425" s="209"/>
      <c r="J425" s="209"/>
      <c r="K425" s="209"/>
      <c r="L425" s="209"/>
      <c r="M425" s="209"/>
      <c r="N425" s="209"/>
      <c r="O425" s="4"/>
    </row>
    <row r="426" spans="1:15" x14ac:dyDescent="0.25">
      <c r="A426" s="209" t="s">
        <v>44</v>
      </c>
      <c r="B426" s="209"/>
      <c r="C426" s="209"/>
      <c r="D426" s="209"/>
      <c r="E426" s="209"/>
      <c r="F426" s="209"/>
      <c r="G426" s="209"/>
      <c r="H426" s="209"/>
      <c r="I426" s="209"/>
      <c r="J426" s="209"/>
      <c r="K426" s="209"/>
      <c r="L426" s="209"/>
      <c r="M426" s="209"/>
      <c r="N426" s="209"/>
      <c r="O426" s="4"/>
    </row>
    <row r="427" spans="1:15" ht="15.75" x14ac:dyDescent="0.25">
      <c r="A427" s="210" t="s">
        <v>72</v>
      </c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0"/>
      <c r="M427" s="210"/>
      <c r="N427" s="210"/>
      <c r="O427" s="4"/>
    </row>
    <row r="428" spans="1:15" ht="15.75" x14ac:dyDescent="0.25">
      <c r="A428" s="211" t="s">
        <v>125</v>
      </c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4"/>
    </row>
    <row r="429" spans="1:15" ht="15.75" x14ac:dyDescent="0.25">
      <c r="A429" s="5" t="s">
        <v>46</v>
      </c>
      <c r="B429" s="208" t="s">
        <v>123</v>
      </c>
      <c r="C429" s="208"/>
      <c r="D429" s="208"/>
      <c r="E429" s="208"/>
      <c r="F429" s="208"/>
      <c r="G429" s="208"/>
      <c r="H429" s="208"/>
      <c r="I429" s="208"/>
      <c r="J429" s="208"/>
      <c r="K429" s="208"/>
      <c r="L429" s="208"/>
      <c r="M429" s="208"/>
      <c r="N429" s="208"/>
      <c r="O429" s="4"/>
    </row>
    <row r="430" spans="1:15" ht="15.75" x14ac:dyDescent="0.25">
      <c r="A430" s="5" t="s">
        <v>47</v>
      </c>
      <c r="B430" s="175" t="s">
        <v>102</v>
      </c>
      <c r="C430" s="175"/>
      <c r="D430" s="175"/>
      <c r="E430" s="175"/>
      <c r="F430" s="175"/>
      <c r="G430" s="175"/>
      <c r="H430" s="175"/>
      <c r="I430" s="175"/>
      <c r="J430" s="175"/>
      <c r="K430" s="175"/>
      <c r="L430" s="174" t="s">
        <v>74</v>
      </c>
      <c r="M430" s="174"/>
      <c r="N430" s="34">
        <v>18330.621159425689</v>
      </c>
      <c r="O430" s="4"/>
    </row>
    <row r="431" spans="1:15" x14ac:dyDescent="0.25">
      <c r="A431" s="6" t="s">
        <v>21</v>
      </c>
      <c r="B431" s="7" t="s">
        <v>92</v>
      </c>
      <c r="C431" s="6" t="s">
        <v>22</v>
      </c>
      <c r="D431" s="7">
        <v>2020</v>
      </c>
      <c r="E431" s="194" t="s">
        <v>20</v>
      </c>
      <c r="F431" s="194"/>
      <c r="G431" s="194"/>
      <c r="H431" s="195" t="s">
        <v>124</v>
      </c>
      <c r="I431" s="196"/>
      <c r="J431" s="196"/>
      <c r="K431" s="196"/>
      <c r="L431" s="196"/>
      <c r="M431" s="196"/>
      <c r="N431" s="197"/>
      <c r="O431" s="4"/>
    </row>
    <row r="432" spans="1:15" x14ac:dyDescent="0.25">
      <c r="A432" s="198" t="s">
        <v>48</v>
      </c>
      <c r="B432" s="199"/>
      <c r="C432" s="200"/>
      <c r="D432" s="204" t="s">
        <v>49</v>
      </c>
      <c r="E432" s="205"/>
      <c r="F432" s="205"/>
      <c r="G432" s="205"/>
      <c r="H432" s="206"/>
      <c r="I432" s="207" t="s">
        <v>50</v>
      </c>
      <c r="J432" s="207"/>
      <c r="K432" s="207"/>
      <c r="L432" s="207"/>
      <c r="M432" s="207"/>
      <c r="N432" s="207"/>
      <c r="O432" s="4"/>
    </row>
    <row r="433" spans="1:15" ht="30" x14ac:dyDescent="0.25">
      <c r="A433" s="201"/>
      <c r="B433" s="202"/>
      <c r="C433" s="203"/>
      <c r="D433" s="8" t="s">
        <v>51</v>
      </c>
      <c r="E433" s="8" t="s">
        <v>52</v>
      </c>
      <c r="F433" s="8" t="s">
        <v>53</v>
      </c>
      <c r="G433" s="8" t="s">
        <v>54</v>
      </c>
      <c r="H433" s="8" t="s">
        <v>55</v>
      </c>
      <c r="I433" s="33" t="s">
        <v>51</v>
      </c>
      <c r="J433" s="33" t="s">
        <v>52</v>
      </c>
      <c r="K433" s="33" t="s">
        <v>53</v>
      </c>
      <c r="L433" s="33" t="s">
        <v>54</v>
      </c>
      <c r="M433" s="201" t="s">
        <v>56</v>
      </c>
      <c r="N433" s="203"/>
      <c r="O433" s="4"/>
    </row>
    <row r="434" spans="1:15" x14ac:dyDescent="0.25">
      <c r="A434" s="181" t="s">
        <v>2</v>
      </c>
      <c r="B434" s="182"/>
      <c r="C434" s="183"/>
      <c r="D434" s="9" t="s">
        <v>57</v>
      </c>
      <c r="E434" s="9" t="s">
        <v>57</v>
      </c>
      <c r="F434" s="9" t="s">
        <v>57</v>
      </c>
      <c r="G434" s="9" t="s">
        <v>57</v>
      </c>
      <c r="H434" s="9"/>
      <c r="I434" s="15">
        <v>0</v>
      </c>
      <c r="J434" s="15">
        <v>0</v>
      </c>
      <c r="K434" s="15">
        <v>0</v>
      </c>
      <c r="L434" s="15">
        <v>0</v>
      </c>
      <c r="M434" s="190">
        <f>I434+J434+K434+L434</f>
        <v>0</v>
      </c>
      <c r="N434" s="191"/>
      <c r="O434" s="4"/>
    </row>
    <row r="435" spans="1:15" x14ac:dyDescent="0.25">
      <c r="A435" s="181" t="s">
        <v>3</v>
      </c>
      <c r="B435" s="182"/>
      <c r="C435" s="183"/>
      <c r="D435" s="9" t="s">
        <v>57</v>
      </c>
      <c r="E435" s="9" t="s">
        <v>57</v>
      </c>
      <c r="F435" s="9" t="s">
        <v>57</v>
      </c>
      <c r="G435" s="9" t="s">
        <v>57</v>
      </c>
      <c r="H435" s="9"/>
      <c r="I435" s="15">
        <v>0</v>
      </c>
      <c r="J435" s="15">
        <v>0</v>
      </c>
      <c r="K435" s="15">
        <v>0</v>
      </c>
      <c r="L435" s="15">
        <v>0</v>
      </c>
      <c r="M435" s="192">
        <f t="shared" ref="M435:M442" si="18">I435+J435+K435+L435</f>
        <v>0</v>
      </c>
      <c r="N435" s="193"/>
      <c r="O435" s="4"/>
    </row>
    <row r="436" spans="1:15" x14ac:dyDescent="0.25">
      <c r="A436" s="181" t="s">
        <v>4</v>
      </c>
      <c r="B436" s="182"/>
      <c r="C436" s="183"/>
      <c r="D436" s="9" t="s">
        <v>57</v>
      </c>
      <c r="E436" s="9" t="s">
        <v>57</v>
      </c>
      <c r="F436" s="9" t="s">
        <v>57</v>
      </c>
      <c r="G436" s="9" t="s">
        <v>57</v>
      </c>
      <c r="H436" s="9"/>
      <c r="I436" s="15">
        <v>0</v>
      </c>
      <c r="J436" s="15">
        <v>0</v>
      </c>
      <c r="K436" s="15">
        <v>0</v>
      </c>
      <c r="L436" s="15">
        <v>0</v>
      </c>
      <c r="M436" s="192">
        <f t="shared" si="18"/>
        <v>0</v>
      </c>
      <c r="N436" s="193"/>
      <c r="O436" s="4"/>
    </row>
    <row r="437" spans="1:15" x14ac:dyDescent="0.25">
      <c r="A437" s="181" t="s">
        <v>5</v>
      </c>
      <c r="B437" s="182"/>
      <c r="C437" s="183"/>
      <c r="D437" s="9" t="s">
        <v>57</v>
      </c>
      <c r="E437" s="9" t="s">
        <v>57</v>
      </c>
      <c r="F437" s="9" t="s">
        <v>57</v>
      </c>
      <c r="G437" s="9" t="s">
        <v>57</v>
      </c>
      <c r="H437" s="9"/>
      <c r="I437" s="15">
        <v>0</v>
      </c>
      <c r="J437" s="15">
        <v>0</v>
      </c>
      <c r="K437" s="15">
        <v>0</v>
      </c>
      <c r="L437" s="15">
        <v>0</v>
      </c>
      <c r="M437" s="192">
        <f t="shared" si="18"/>
        <v>0</v>
      </c>
      <c r="N437" s="193"/>
      <c r="O437" s="4"/>
    </row>
    <row r="438" spans="1:15" x14ac:dyDescent="0.25">
      <c r="A438" s="181" t="s">
        <v>6</v>
      </c>
      <c r="B438" s="182"/>
      <c r="C438" s="183"/>
      <c r="D438" s="9" t="s">
        <v>57</v>
      </c>
      <c r="E438" s="9" t="s">
        <v>57</v>
      </c>
      <c r="F438" s="9" t="s">
        <v>57</v>
      </c>
      <c r="G438" s="9" t="s">
        <v>57</v>
      </c>
      <c r="H438" s="9"/>
      <c r="I438" s="15">
        <v>0</v>
      </c>
      <c r="J438" s="15">
        <v>0</v>
      </c>
      <c r="K438" s="15">
        <v>0</v>
      </c>
      <c r="L438" s="15">
        <v>0</v>
      </c>
      <c r="M438" s="192">
        <f t="shared" si="18"/>
        <v>0</v>
      </c>
      <c r="N438" s="193"/>
      <c r="O438" s="4"/>
    </row>
    <row r="439" spans="1:15" x14ac:dyDescent="0.25">
      <c r="A439" s="181" t="s">
        <v>8</v>
      </c>
      <c r="B439" s="182"/>
      <c r="C439" s="183"/>
      <c r="D439" s="9" t="s">
        <v>57</v>
      </c>
      <c r="E439" s="9" t="s">
        <v>57</v>
      </c>
      <c r="F439" s="9" t="s">
        <v>57</v>
      </c>
      <c r="G439" s="9" t="s">
        <v>57</v>
      </c>
      <c r="H439" s="9"/>
      <c r="I439" s="15">
        <v>0</v>
      </c>
      <c r="J439" s="15">
        <v>0</v>
      </c>
      <c r="K439" s="15">
        <v>0</v>
      </c>
      <c r="L439" s="15">
        <v>0</v>
      </c>
      <c r="M439" s="192">
        <f t="shared" si="18"/>
        <v>0</v>
      </c>
      <c r="N439" s="193"/>
      <c r="O439" s="4"/>
    </row>
    <row r="440" spans="1:15" x14ac:dyDescent="0.25">
      <c r="A440" s="181" t="s">
        <v>38</v>
      </c>
      <c r="B440" s="182"/>
      <c r="C440" s="183"/>
      <c r="D440" s="9" t="s">
        <v>57</v>
      </c>
      <c r="E440" s="9" t="s">
        <v>57</v>
      </c>
      <c r="F440" s="9" t="s">
        <v>57</v>
      </c>
      <c r="G440" s="9" t="s">
        <v>57</v>
      </c>
      <c r="H440" s="9"/>
      <c r="I440" s="15">
        <v>0</v>
      </c>
      <c r="J440" s="15">
        <v>0</v>
      </c>
      <c r="K440" s="15">
        <v>0</v>
      </c>
      <c r="L440" s="15">
        <v>0</v>
      </c>
      <c r="M440" s="192">
        <f t="shared" si="18"/>
        <v>0</v>
      </c>
      <c r="N440" s="193"/>
      <c r="O440" s="4"/>
    </row>
    <row r="441" spans="1:15" x14ac:dyDescent="0.25">
      <c r="A441" s="181" t="s">
        <v>7</v>
      </c>
      <c r="B441" s="182"/>
      <c r="C441" s="183"/>
      <c r="D441" s="9" t="s">
        <v>57</v>
      </c>
      <c r="E441" s="9" t="s">
        <v>57</v>
      </c>
      <c r="F441" s="9" t="s">
        <v>57</v>
      </c>
      <c r="G441" s="9" t="s">
        <v>57</v>
      </c>
      <c r="H441" s="9"/>
      <c r="I441" s="15">
        <v>0</v>
      </c>
      <c r="J441" s="15">
        <v>0</v>
      </c>
      <c r="K441" s="15">
        <v>0</v>
      </c>
      <c r="L441" s="15">
        <v>0</v>
      </c>
      <c r="M441" s="192">
        <f t="shared" si="18"/>
        <v>0</v>
      </c>
      <c r="N441" s="193"/>
      <c r="O441" s="4"/>
    </row>
    <row r="442" spans="1:15" x14ac:dyDescent="0.25">
      <c r="A442" s="181" t="s">
        <v>90</v>
      </c>
      <c r="B442" s="182"/>
      <c r="C442" s="183"/>
      <c r="D442" s="9" t="s">
        <v>57</v>
      </c>
      <c r="E442" s="9" t="s">
        <v>57</v>
      </c>
      <c r="F442" s="9" t="s">
        <v>57</v>
      </c>
      <c r="G442" s="9" t="s">
        <v>57</v>
      </c>
      <c r="H442" s="9"/>
      <c r="I442" s="15">
        <v>0</v>
      </c>
      <c r="J442" s="15">
        <v>0</v>
      </c>
      <c r="K442" s="15">
        <v>0</v>
      </c>
      <c r="L442" s="15">
        <v>0</v>
      </c>
      <c r="M442" s="188">
        <f t="shared" si="18"/>
        <v>0</v>
      </c>
      <c r="N442" s="189"/>
      <c r="O442" s="4"/>
    </row>
    <row r="443" spans="1:15" x14ac:dyDescent="0.25">
      <c r="O443" s="4"/>
    </row>
    <row r="444" spans="1:15" ht="15.75" x14ac:dyDescent="0.25">
      <c r="A444" s="177" t="s">
        <v>58</v>
      </c>
      <c r="B444" s="177"/>
      <c r="C444" s="177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4"/>
    </row>
    <row r="445" spans="1:15" x14ac:dyDescent="0.25">
      <c r="A445" s="178"/>
      <c r="B445" s="179"/>
      <c r="C445" s="179"/>
      <c r="D445" s="179"/>
      <c r="E445" s="179"/>
      <c r="F445" s="179"/>
      <c r="G445" s="179"/>
      <c r="H445" s="179"/>
      <c r="I445" s="179"/>
      <c r="J445" s="179"/>
      <c r="K445" s="179"/>
      <c r="L445" s="179"/>
      <c r="M445" s="179"/>
      <c r="N445" s="180"/>
      <c r="O445" s="10">
        <f>A445</f>
        <v>0</v>
      </c>
    </row>
    <row r="446" spans="1:15" x14ac:dyDescent="0.25">
      <c r="A446" s="174" t="s">
        <v>59</v>
      </c>
      <c r="B446" s="174"/>
      <c r="C446" s="174"/>
      <c r="D446" s="174"/>
      <c r="E446" s="174"/>
      <c r="F446" s="174"/>
      <c r="G446" s="174"/>
      <c r="H446" s="174"/>
      <c r="I446" s="174"/>
      <c r="J446" s="174"/>
      <c r="K446" s="174"/>
      <c r="L446" s="174"/>
      <c r="M446" s="174"/>
      <c r="N446" s="174"/>
      <c r="O446" s="10"/>
    </row>
    <row r="447" spans="1:15" x14ac:dyDescent="0.25">
      <c r="A447" s="178"/>
      <c r="B447" s="179"/>
      <c r="C447" s="179"/>
      <c r="D447" s="179"/>
      <c r="E447" s="179"/>
      <c r="F447" s="179"/>
      <c r="G447" s="179"/>
      <c r="H447" s="179"/>
      <c r="I447" s="179"/>
      <c r="J447" s="179"/>
      <c r="K447" s="179"/>
      <c r="L447" s="179"/>
      <c r="M447" s="179"/>
      <c r="N447" s="180"/>
      <c r="O447" s="10">
        <f t="shared" ref="O447:O468" si="19">A447</f>
        <v>0</v>
      </c>
    </row>
    <row r="448" spans="1:15" x14ac:dyDescent="0.25">
      <c r="A448" s="176" t="s">
        <v>60</v>
      </c>
      <c r="B448" s="176"/>
      <c r="C448" s="176"/>
      <c r="D448" s="176"/>
      <c r="E448" s="176"/>
      <c r="F448" s="176"/>
      <c r="G448" s="176"/>
      <c r="H448" s="176"/>
      <c r="I448" s="176"/>
      <c r="J448" s="176"/>
      <c r="K448" s="176"/>
      <c r="L448" s="176"/>
      <c r="M448" s="176" t="s">
        <v>61</v>
      </c>
      <c r="N448" s="176"/>
      <c r="O448" s="10"/>
    </row>
    <row r="449" spans="1:15" x14ac:dyDescent="0.25">
      <c r="A449" s="176" t="s">
        <v>62</v>
      </c>
      <c r="B449" s="176"/>
      <c r="C449" s="176"/>
      <c r="D449" s="176"/>
      <c r="E449" s="176"/>
      <c r="F449" s="176"/>
      <c r="G449" s="176"/>
      <c r="H449" s="176"/>
      <c r="I449" s="176"/>
      <c r="J449" s="176"/>
      <c r="K449" s="176"/>
      <c r="L449" s="176"/>
      <c r="M449" s="176" t="s">
        <v>61</v>
      </c>
      <c r="N449" s="176"/>
      <c r="O449" s="10"/>
    </row>
    <row r="450" spans="1:15" x14ac:dyDescent="0.25">
      <c r="O450" s="10"/>
    </row>
    <row r="451" spans="1:15" ht="15.75" x14ac:dyDescent="0.25">
      <c r="A451" s="184" t="s">
        <v>63</v>
      </c>
      <c r="B451" s="185"/>
      <c r="C451" s="185"/>
      <c r="D451" s="185"/>
      <c r="E451" s="185"/>
      <c r="F451" s="185"/>
      <c r="G451" s="185"/>
      <c r="H451" s="185"/>
      <c r="I451" s="185"/>
      <c r="J451" s="185"/>
      <c r="K451" s="185"/>
      <c r="L451" s="185"/>
      <c r="M451" s="185"/>
      <c r="N451" s="186"/>
      <c r="O451" s="10"/>
    </row>
    <row r="452" spans="1:15" x14ac:dyDescent="0.25">
      <c r="A452" s="178"/>
      <c r="B452" s="179"/>
      <c r="C452" s="179"/>
      <c r="D452" s="179"/>
      <c r="E452" s="179"/>
      <c r="F452" s="179"/>
      <c r="G452" s="179"/>
      <c r="H452" s="179"/>
      <c r="I452" s="179"/>
      <c r="J452" s="179"/>
      <c r="K452" s="179"/>
      <c r="L452" s="179"/>
      <c r="M452" s="179"/>
      <c r="N452" s="179"/>
      <c r="O452" s="10">
        <f t="shared" si="19"/>
        <v>0</v>
      </c>
    </row>
    <row r="453" spans="1:15" x14ac:dyDescent="0.25">
      <c r="A453" s="174" t="s">
        <v>64</v>
      </c>
      <c r="B453" s="174"/>
      <c r="C453" s="174"/>
      <c r="D453" s="174"/>
      <c r="E453" s="174"/>
      <c r="F453" s="174"/>
      <c r="G453" s="174"/>
      <c r="H453" s="174"/>
      <c r="I453" s="174"/>
      <c r="J453" s="174"/>
      <c r="K453" s="174"/>
      <c r="L453" s="174"/>
      <c r="M453" s="174"/>
      <c r="N453" s="174"/>
      <c r="O453" s="10"/>
    </row>
    <row r="454" spans="1:15" x14ac:dyDescent="0.25">
      <c r="A454" s="178"/>
      <c r="B454" s="179"/>
      <c r="C454" s="179"/>
      <c r="D454" s="179"/>
      <c r="E454" s="179"/>
      <c r="F454" s="179"/>
      <c r="G454" s="179"/>
      <c r="H454" s="179"/>
      <c r="I454" s="179"/>
      <c r="J454" s="179"/>
      <c r="K454" s="179"/>
      <c r="L454" s="179"/>
      <c r="M454" s="179"/>
      <c r="N454" s="180"/>
      <c r="O454" s="10">
        <f t="shared" si="19"/>
        <v>0</v>
      </c>
    </row>
    <row r="455" spans="1:15" x14ac:dyDescent="0.25">
      <c r="A455" s="176" t="s">
        <v>60</v>
      </c>
      <c r="B455" s="176"/>
      <c r="C455" s="176"/>
      <c r="D455" s="176"/>
      <c r="E455" s="176"/>
      <c r="F455" s="176"/>
      <c r="G455" s="176"/>
      <c r="H455" s="176"/>
      <c r="I455" s="176"/>
      <c r="J455" s="176"/>
      <c r="K455" s="176"/>
      <c r="L455" s="176"/>
      <c r="M455" s="176" t="s">
        <v>61</v>
      </c>
      <c r="N455" s="176"/>
      <c r="O455" s="10"/>
    </row>
    <row r="456" spans="1:15" x14ac:dyDescent="0.25">
      <c r="A456" s="176" t="s">
        <v>62</v>
      </c>
      <c r="B456" s="176"/>
      <c r="C456" s="176"/>
      <c r="D456" s="176"/>
      <c r="E456" s="176"/>
      <c r="F456" s="176"/>
      <c r="G456" s="176"/>
      <c r="H456" s="176"/>
      <c r="I456" s="176"/>
      <c r="J456" s="176"/>
      <c r="K456" s="176"/>
      <c r="L456" s="176"/>
      <c r="M456" s="176" t="s">
        <v>61</v>
      </c>
      <c r="N456" s="176"/>
      <c r="O456" s="10"/>
    </row>
    <row r="457" spans="1:15" x14ac:dyDescent="0.25">
      <c r="O457" s="10"/>
    </row>
    <row r="458" spans="1:15" ht="15.75" x14ac:dyDescent="0.25">
      <c r="A458" s="177" t="s">
        <v>65</v>
      </c>
      <c r="B458" s="177"/>
      <c r="C458" s="177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0"/>
    </row>
    <row r="459" spans="1:15" x14ac:dyDescent="0.25">
      <c r="A459" s="178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179"/>
      <c r="M459" s="179"/>
      <c r="N459" s="180"/>
      <c r="O459" s="10">
        <f t="shared" si="19"/>
        <v>0</v>
      </c>
    </row>
    <row r="460" spans="1:15" x14ac:dyDescent="0.25">
      <c r="A460" s="174" t="s">
        <v>66</v>
      </c>
      <c r="B460" s="174"/>
      <c r="C460" s="174"/>
      <c r="D460" s="174"/>
      <c r="E460" s="174"/>
      <c r="F460" s="174"/>
      <c r="G460" s="174"/>
      <c r="H460" s="174"/>
      <c r="I460" s="174"/>
      <c r="J460" s="174"/>
      <c r="K460" s="174"/>
      <c r="L460" s="174"/>
      <c r="M460" s="174"/>
      <c r="N460" s="174"/>
      <c r="O460" s="10"/>
    </row>
    <row r="461" spans="1:15" x14ac:dyDescent="0.25">
      <c r="A461" s="178"/>
      <c r="B461" s="179"/>
      <c r="C461" s="179"/>
      <c r="D461" s="179"/>
      <c r="E461" s="179"/>
      <c r="F461" s="179"/>
      <c r="G461" s="179"/>
      <c r="H461" s="179"/>
      <c r="I461" s="179"/>
      <c r="J461" s="179"/>
      <c r="K461" s="179"/>
      <c r="L461" s="179"/>
      <c r="M461" s="179"/>
      <c r="N461" s="180"/>
      <c r="O461" s="10">
        <f t="shared" si="19"/>
        <v>0</v>
      </c>
    </row>
    <row r="462" spans="1:15" x14ac:dyDescent="0.25">
      <c r="A462" s="187" t="s">
        <v>60</v>
      </c>
      <c r="B462" s="187"/>
      <c r="C462" s="187"/>
      <c r="D462" s="187"/>
      <c r="E462" s="187"/>
      <c r="F462" s="187"/>
      <c r="G462" s="187"/>
      <c r="H462" s="187"/>
      <c r="I462" s="187"/>
      <c r="J462" s="187"/>
      <c r="K462" s="187"/>
      <c r="L462" s="187"/>
      <c r="M462" s="176" t="s">
        <v>61</v>
      </c>
      <c r="N462" s="176"/>
      <c r="O462" s="10"/>
    </row>
    <row r="463" spans="1:15" x14ac:dyDescent="0.25">
      <c r="A463" s="187" t="s">
        <v>62</v>
      </c>
      <c r="B463" s="187"/>
      <c r="C463" s="187"/>
      <c r="D463" s="187"/>
      <c r="E463" s="187"/>
      <c r="F463" s="187"/>
      <c r="G463" s="187"/>
      <c r="H463" s="187"/>
      <c r="I463" s="187"/>
      <c r="J463" s="187"/>
      <c r="K463" s="187"/>
      <c r="L463" s="187"/>
      <c r="M463" s="176" t="s">
        <v>61</v>
      </c>
      <c r="N463" s="176"/>
      <c r="O463" s="10"/>
    </row>
    <row r="464" spans="1:15" x14ac:dyDescent="0.25">
      <c r="O464" s="10"/>
    </row>
    <row r="465" spans="1:15" ht="15.75" x14ac:dyDescent="0.25">
      <c r="A465" s="184" t="s">
        <v>67</v>
      </c>
      <c r="B465" s="185"/>
      <c r="C465" s="185"/>
      <c r="D465" s="185"/>
      <c r="E465" s="185"/>
      <c r="F465" s="185"/>
      <c r="G465" s="185"/>
      <c r="H465" s="185"/>
      <c r="I465" s="185"/>
      <c r="J465" s="185"/>
      <c r="K465" s="185"/>
      <c r="L465" s="185"/>
      <c r="M465" s="185"/>
      <c r="N465" s="186"/>
      <c r="O465" s="10"/>
    </row>
    <row r="466" spans="1:15" x14ac:dyDescent="0.25">
      <c r="A466" s="178"/>
      <c r="B466" s="179"/>
      <c r="C466" s="179"/>
      <c r="D466" s="179"/>
      <c r="E466" s="179"/>
      <c r="F466" s="179"/>
      <c r="G466" s="179"/>
      <c r="H466" s="179"/>
      <c r="I466" s="179"/>
      <c r="J466" s="179"/>
      <c r="K466" s="179"/>
      <c r="L466" s="179"/>
      <c r="M466" s="179"/>
      <c r="N466" s="180"/>
      <c r="O466" s="10">
        <f t="shared" si="19"/>
        <v>0</v>
      </c>
    </row>
    <row r="467" spans="1:15" x14ac:dyDescent="0.25">
      <c r="A467" s="174" t="s">
        <v>68</v>
      </c>
      <c r="B467" s="174"/>
      <c r="C467" s="174"/>
      <c r="D467" s="174"/>
      <c r="E467" s="174"/>
      <c r="F467" s="174"/>
      <c r="G467" s="174"/>
      <c r="H467" s="174"/>
      <c r="I467" s="174"/>
      <c r="J467" s="174"/>
      <c r="K467" s="174"/>
      <c r="L467" s="174"/>
      <c r="M467" s="174"/>
      <c r="N467" s="174"/>
      <c r="O467" s="10"/>
    </row>
    <row r="468" spans="1:15" x14ac:dyDescent="0.25">
      <c r="A468" s="178"/>
      <c r="B468" s="179"/>
      <c r="C468" s="179"/>
      <c r="D468" s="179"/>
      <c r="E468" s="179"/>
      <c r="F468" s="179"/>
      <c r="G468" s="179"/>
      <c r="H468" s="179"/>
      <c r="I468" s="179"/>
      <c r="J468" s="179"/>
      <c r="K468" s="179"/>
      <c r="L468" s="179"/>
      <c r="M468" s="179"/>
      <c r="N468" s="180"/>
      <c r="O468" s="10">
        <f t="shared" si="19"/>
        <v>0</v>
      </c>
    </row>
    <row r="469" spans="1:15" x14ac:dyDescent="0.25">
      <c r="A469" s="176" t="s">
        <v>60</v>
      </c>
      <c r="B469" s="176"/>
      <c r="C469" s="176"/>
      <c r="D469" s="176"/>
      <c r="E469" s="176"/>
      <c r="F469" s="176"/>
      <c r="G469" s="176"/>
      <c r="H469" s="176"/>
      <c r="I469" s="176"/>
      <c r="J469" s="176"/>
      <c r="K469" s="176"/>
      <c r="L469" s="176"/>
      <c r="M469" s="176" t="s">
        <v>61</v>
      </c>
      <c r="N469" s="176"/>
      <c r="O469" s="10"/>
    </row>
    <row r="470" spans="1:15" x14ac:dyDescent="0.25">
      <c r="A470" s="176" t="s">
        <v>62</v>
      </c>
      <c r="B470" s="176"/>
      <c r="C470" s="176"/>
      <c r="D470" s="176"/>
      <c r="E470" s="176"/>
      <c r="F470" s="176"/>
      <c r="G470" s="176"/>
      <c r="H470" s="176"/>
      <c r="I470" s="176"/>
      <c r="J470" s="176"/>
      <c r="K470" s="176"/>
      <c r="L470" s="176"/>
      <c r="M470" s="176" t="s">
        <v>61</v>
      </c>
      <c r="N470" s="176"/>
      <c r="O470" s="10"/>
    </row>
    <row r="471" spans="1:15" x14ac:dyDescent="0.25">
      <c r="A471" s="209" t="s">
        <v>91</v>
      </c>
      <c r="B471" s="209"/>
      <c r="C471" s="209"/>
      <c r="D471" s="209"/>
      <c r="E471" s="209"/>
      <c r="F471" s="209"/>
      <c r="G471" s="209"/>
      <c r="H471" s="209"/>
      <c r="I471" s="209"/>
      <c r="J471" s="209"/>
      <c r="K471" s="209"/>
      <c r="L471" s="209"/>
      <c r="M471" s="209"/>
      <c r="N471" s="209"/>
      <c r="O471" s="4"/>
    </row>
    <row r="472" spans="1:15" x14ac:dyDescent="0.25">
      <c r="A472" s="209" t="s">
        <v>89</v>
      </c>
      <c r="B472" s="209"/>
      <c r="C472" s="209"/>
      <c r="D472" s="209"/>
      <c r="E472" s="209"/>
      <c r="F472" s="209"/>
      <c r="G472" s="209"/>
      <c r="H472" s="209"/>
      <c r="I472" s="209"/>
      <c r="J472" s="209"/>
      <c r="K472" s="209"/>
      <c r="L472" s="209"/>
      <c r="M472" s="209"/>
      <c r="N472" s="209"/>
      <c r="O472" s="4"/>
    </row>
    <row r="473" spans="1:15" x14ac:dyDescent="0.25">
      <c r="A473" s="209" t="s">
        <v>44</v>
      </c>
      <c r="B473" s="209"/>
      <c r="C473" s="209"/>
      <c r="D473" s="209"/>
      <c r="E473" s="209"/>
      <c r="F473" s="209"/>
      <c r="G473" s="209"/>
      <c r="H473" s="209"/>
      <c r="I473" s="209"/>
      <c r="J473" s="209"/>
      <c r="K473" s="209"/>
      <c r="L473" s="209"/>
      <c r="M473" s="209"/>
      <c r="N473" s="209"/>
      <c r="O473" s="4"/>
    </row>
    <row r="474" spans="1:15" ht="15.75" x14ac:dyDescent="0.25">
      <c r="A474" s="210" t="s">
        <v>72</v>
      </c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0"/>
      <c r="M474" s="210"/>
      <c r="N474" s="210"/>
      <c r="O474" s="4"/>
    </row>
    <row r="475" spans="1:15" ht="15.75" x14ac:dyDescent="0.25">
      <c r="A475" s="211" t="s">
        <v>125</v>
      </c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4"/>
    </row>
    <row r="476" spans="1:15" ht="15.75" x14ac:dyDescent="0.25">
      <c r="A476" s="5" t="s">
        <v>46</v>
      </c>
      <c r="B476" s="208" t="s">
        <v>123</v>
      </c>
      <c r="C476" s="208"/>
      <c r="D476" s="208"/>
      <c r="E476" s="208"/>
      <c r="F476" s="208"/>
      <c r="G476" s="208"/>
      <c r="H476" s="208"/>
      <c r="I476" s="208"/>
      <c r="J476" s="208"/>
      <c r="K476" s="208"/>
      <c r="L476" s="208"/>
      <c r="M476" s="208"/>
      <c r="N476" s="208"/>
      <c r="O476" s="4"/>
    </row>
    <row r="477" spans="1:15" ht="15.75" x14ac:dyDescent="0.25">
      <c r="A477" s="5" t="s">
        <v>47</v>
      </c>
      <c r="B477" s="175" t="s">
        <v>103</v>
      </c>
      <c r="C477" s="175"/>
      <c r="D477" s="175"/>
      <c r="E477" s="175"/>
      <c r="F477" s="175"/>
      <c r="G477" s="175"/>
      <c r="H477" s="175"/>
      <c r="I477" s="175"/>
      <c r="J477" s="175"/>
      <c r="K477" s="175"/>
      <c r="L477" s="174" t="s">
        <v>74</v>
      </c>
      <c r="M477" s="174"/>
      <c r="N477" s="34">
        <v>1758.582201366464</v>
      </c>
      <c r="O477" s="4"/>
    </row>
    <row r="478" spans="1:15" x14ac:dyDescent="0.25">
      <c r="A478" s="6" t="s">
        <v>21</v>
      </c>
      <c r="B478" s="7" t="s">
        <v>92</v>
      </c>
      <c r="C478" s="6" t="s">
        <v>22</v>
      </c>
      <c r="D478" s="7">
        <v>2020</v>
      </c>
      <c r="E478" s="194" t="s">
        <v>20</v>
      </c>
      <c r="F478" s="194"/>
      <c r="G478" s="194"/>
      <c r="H478" s="195" t="s">
        <v>124</v>
      </c>
      <c r="I478" s="196"/>
      <c r="J478" s="196"/>
      <c r="K478" s="196"/>
      <c r="L478" s="196"/>
      <c r="M478" s="196"/>
      <c r="N478" s="197"/>
      <c r="O478" s="4"/>
    </row>
    <row r="479" spans="1:15" x14ac:dyDescent="0.25">
      <c r="A479" s="198" t="s">
        <v>48</v>
      </c>
      <c r="B479" s="199"/>
      <c r="C479" s="200"/>
      <c r="D479" s="204" t="s">
        <v>49</v>
      </c>
      <c r="E479" s="205"/>
      <c r="F479" s="205"/>
      <c r="G479" s="205"/>
      <c r="H479" s="206"/>
      <c r="I479" s="207" t="s">
        <v>50</v>
      </c>
      <c r="J479" s="207"/>
      <c r="K479" s="207"/>
      <c r="L479" s="207"/>
      <c r="M479" s="207"/>
      <c r="N479" s="207"/>
      <c r="O479" s="4"/>
    </row>
    <row r="480" spans="1:15" ht="30" x14ac:dyDescent="0.25">
      <c r="A480" s="201"/>
      <c r="B480" s="202"/>
      <c r="C480" s="203"/>
      <c r="D480" s="8" t="s">
        <v>51</v>
      </c>
      <c r="E480" s="8" t="s">
        <v>52</v>
      </c>
      <c r="F480" s="8" t="s">
        <v>53</v>
      </c>
      <c r="G480" s="8" t="s">
        <v>54</v>
      </c>
      <c r="H480" s="8" t="s">
        <v>55</v>
      </c>
      <c r="I480" s="33" t="s">
        <v>51</v>
      </c>
      <c r="J480" s="33" t="s">
        <v>52</v>
      </c>
      <c r="K480" s="33" t="s">
        <v>53</v>
      </c>
      <c r="L480" s="33" t="s">
        <v>54</v>
      </c>
      <c r="M480" s="201" t="s">
        <v>56</v>
      </c>
      <c r="N480" s="203"/>
      <c r="O480" s="4"/>
    </row>
    <row r="481" spans="1:15" x14ac:dyDescent="0.25">
      <c r="A481" s="181" t="s">
        <v>2</v>
      </c>
      <c r="B481" s="182"/>
      <c r="C481" s="183"/>
      <c r="D481" s="9" t="s">
        <v>57</v>
      </c>
      <c r="E481" s="9" t="s">
        <v>57</v>
      </c>
      <c r="F481" s="9" t="s">
        <v>57</v>
      </c>
      <c r="G481" s="9" t="s">
        <v>57</v>
      </c>
      <c r="H481" s="9"/>
      <c r="I481" s="15">
        <v>0</v>
      </c>
      <c r="J481" s="15">
        <v>0</v>
      </c>
      <c r="K481" s="15">
        <v>0</v>
      </c>
      <c r="L481" s="15">
        <v>0</v>
      </c>
      <c r="M481" s="190">
        <f>I481+J481+K481+L481</f>
        <v>0</v>
      </c>
      <c r="N481" s="191"/>
      <c r="O481" s="4"/>
    </row>
    <row r="482" spans="1:15" x14ac:dyDescent="0.25">
      <c r="A482" s="181" t="s">
        <v>3</v>
      </c>
      <c r="B482" s="182"/>
      <c r="C482" s="183"/>
      <c r="D482" s="9" t="s">
        <v>57</v>
      </c>
      <c r="E482" s="9" t="s">
        <v>57</v>
      </c>
      <c r="F482" s="9" t="s">
        <v>57</v>
      </c>
      <c r="G482" s="9" t="s">
        <v>57</v>
      </c>
      <c r="H482" s="9"/>
      <c r="I482" s="15">
        <v>0</v>
      </c>
      <c r="J482" s="15">
        <v>0</v>
      </c>
      <c r="K482" s="15">
        <v>0</v>
      </c>
      <c r="L482" s="15">
        <v>0</v>
      </c>
      <c r="M482" s="192">
        <f t="shared" ref="M482:M489" si="20">I482+J482+K482+L482</f>
        <v>0</v>
      </c>
      <c r="N482" s="193"/>
      <c r="O482" s="4"/>
    </row>
    <row r="483" spans="1:15" x14ac:dyDescent="0.25">
      <c r="A483" s="181" t="s">
        <v>4</v>
      </c>
      <c r="B483" s="182"/>
      <c r="C483" s="183"/>
      <c r="D483" s="9" t="s">
        <v>57</v>
      </c>
      <c r="E483" s="9" t="s">
        <v>57</v>
      </c>
      <c r="F483" s="9" t="s">
        <v>57</v>
      </c>
      <c r="G483" s="9" t="s">
        <v>57</v>
      </c>
      <c r="H483" s="9"/>
      <c r="I483" s="15">
        <v>0</v>
      </c>
      <c r="J483" s="15">
        <v>0</v>
      </c>
      <c r="K483" s="15">
        <v>0</v>
      </c>
      <c r="L483" s="15">
        <v>0</v>
      </c>
      <c r="M483" s="192">
        <f t="shared" si="20"/>
        <v>0</v>
      </c>
      <c r="N483" s="193"/>
      <c r="O483" s="4"/>
    </row>
    <row r="484" spans="1:15" x14ac:dyDescent="0.25">
      <c r="A484" s="181" t="s">
        <v>5</v>
      </c>
      <c r="B484" s="182"/>
      <c r="C484" s="183"/>
      <c r="D484" s="9" t="s">
        <v>57</v>
      </c>
      <c r="E484" s="9" t="s">
        <v>57</v>
      </c>
      <c r="F484" s="9" t="s">
        <v>57</v>
      </c>
      <c r="G484" s="9" t="s">
        <v>57</v>
      </c>
      <c r="H484" s="9"/>
      <c r="I484" s="15">
        <v>0</v>
      </c>
      <c r="J484" s="15">
        <v>0</v>
      </c>
      <c r="K484" s="15">
        <v>0</v>
      </c>
      <c r="L484" s="15">
        <v>0</v>
      </c>
      <c r="M484" s="192">
        <f t="shared" si="20"/>
        <v>0</v>
      </c>
      <c r="N484" s="193"/>
      <c r="O484" s="4"/>
    </row>
    <row r="485" spans="1:15" x14ac:dyDescent="0.25">
      <c r="A485" s="181" t="s">
        <v>6</v>
      </c>
      <c r="B485" s="182"/>
      <c r="C485" s="183"/>
      <c r="D485" s="9" t="s">
        <v>57</v>
      </c>
      <c r="E485" s="9" t="s">
        <v>57</v>
      </c>
      <c r="F485" s="9" t="s">
        <v>57</v>
      </c>
      <c r="G485" s="9" t="s">
        <v>57</v>
      </c>
      <c r="H485" s="9"/>
      <c r="I485" s="15">
        <v>0</v>
      </c>
      <c r="J485" s="15">
        <v>0</v>
      </c>
      <c r="K485" s="15">
        <v>0</v>
      </c>
      <c r="L485" s="15">
        <v>0</v>
      </c>
      <c r="M485" s="192">
        <f t="shared" si="20"/>
        <v>0</v>
      </c>
      <c r="N485" s="193"/>
      <c r="O485" s="4"/>
    </row>
    <row r="486" spans="1:15" x14ac:dyDescent="0.25">
      <c r="A486" s="181" t="s">
        <v>8</v>
      </c>
      <c r="B486" s="182"/>
      <c r="C486" s="183"/>
      <c r="D486" s="9" t="s">
        <v>57</v>
      </c>
      <c r="E486" s="9" t="s">
        <v>57</v>
      </c>
      <c r="F486" s="9" t="s">
        <v>57</v>
      </c>
      <c r="G486" s="9" t="s">
        <v>57</v>
      </c>
      <c r="H486" s="9"/>
      <c r="I486" s="15">
        <v>0</v>
      </c>
      <c r="J486" s="15">
        <v>0</v>
      </c>
      <c r="K486" s="15">
        <v>0</v>
      </c>
      <c r="L486" s="15">
        <v>0</v>
      </c>
      <c r="M486" s="192">
        <f t="shared" si="20"/>
        <v>0</v>
      </c>
      <c r="N486" s="193"/>
      <c r="O486" s="4"/>
    </row>
    <row r="487" spans="1:15" x14ac:dyDescent="0.25">
      <c r="A487" s="181" t="s">
        <v>38</v>
      </c>
      <c r="B487" s="182"/>
      <c r="C487" s="183"/>
      <c r="D487" s="9" t="s">
        <v>57</v>
      </c>
      <c r="E487" s="9" t="s">
        <v>57</v>
      </c>
      <c r="F487" s="9" t="s">
        <v>57</v>
      </c>
      <c r="G487" s="9" t="s">
        <v>57</v>
      </c>
      <c r="H487" s="9"/>
      <c r="I487" s="15">
        <v>0</v>
      </c>
      <c r="J487" s="15">
        <v>0</v>
      </c>
      <c r="K487" s="15">
        <v>0</v>
      </c>
      <c r="L487" s="15">
        <v>0</v>
      </c>
      <c r="M487" s="192">
        <f t="shared" si="20"/>
        <v>0</v>
      </c>
      <c r="N487" s="193"/>
      <c r="O487" s="4"/>
    </row>
    <row r="488" spans="1:15" x14ac:dyDescent="0.25">
      <c r="A488" s="181" t="s">
        <v>7</v>
      </c>
      <c r="B488" s="182"/>
      <c r="C488" s="183"/>
      <c r="D488" s="9" t="s">
        <v>57</v>
      </c>
      <c r="E488" s="9" t="s">
        <v>57</v>
      </c>
      <c r="F488" s="9" t="s">
        <v>57</v>
      </c>
      <c r="G488" s="9" t="s">
        <v>57</v>
      </c>
      <c r="H488" s="9"/>
      <c r="I488" s="15">
        <v>0</v>
      </c>
      <c r="J488" s="15">
        <v>0</v>
      </c>
      <c r="K488" s="15">
        <v>0</v>
      </c>
      <c r="L488" s="15">
        <v>0</v>
      </c>
      <c r="M488" s="192">
        <f t="shared" si="20"/>
        <v>0</v>
      </c>
      <c r="N488" s="193"/>
      <c r="O488" s="4"/>
    </row>
    <row r="489" spans="1:15" x14ac:dyDescent="0.25">
      <c r="A489" s="181" t="s">
        <v>90</v>
      </c>
      <c r="B489" s="182"/>
      <c r="C489" s="183"/>
      <c r="D489" s="9" t="s">
        <v>57</v>
      </c>
      <c r="E489" s="9" t="s">
        <v>57</v>
      </c>
      <c r="F489" s="9" t="s">
        <v>57</v>
      </c>
      <c r="G489" s="9" t="s">
        <v>57</v>
      </c>
      <c r="H489" s="9"/>
      <c r="I489" s="15">
        <v>0</v>
      </c>
      <c r="J489" s="15">
        <v>0</v>
      </c>
      <c r="K489" s="15">
        <v>0</v>
      </c>
      <c r="L489" s="15">
        <v>0</v>
      </c>
      <c r="M489" s="188">
        <f t="shared" si="20"/>
        <v>0</v>
      </c>
      <c r="N489" s="189"/>
      <c r="O489" s="4"/>
    </row>
    <row r="490" spans="1:15" x14ac:dyDescent="0.25">
      <c r="O490" s="4"/>
    </row>
    <row r="491" spans="1:15" ht="15.75" x14ac:dyDescent="0.25">
      <c r="A491" s="177" t="s">
        <v>58</v>
      </c>
      <c r="B491" s="177"/>
      <c r="C491" s="177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4"/>
    </row>
    <row r="492" spans="1:15" x14ac:dyDescent="0.25">
      <c r="A492" s="178"/>
      <c r="B492" s="179"/>
      <c r="C492" s="179"/>
      <c r="D492" s="179"/>
      <c r="E492" s="179"/>
      <c r="F492" s="179"/>
      <c r="G492" s="179"/>
      <c r="H492" s="179"/>
      <c r="I492" s="179"/>
      <c r="J492" s="179"/>
      <c r="K492" s="179"/>
      <c r="L492" s="179"/>
      <c r="M492" s="179"/>
      <c r="N492" s="180"/>
      <c r="O492" s="10">
        <f>A492</f>
        <v>0</v>
      </c>
    </row>
    <row r="493" spans="1:15" x14ac:dyDescent="0.25">
      <c r="A493" s="174" t="s">
        <v>59</v>
      </c>
      <c r="B493" s="174"/>
      <c r="C493" s="174"/>
      <c r="D493" s="174"/>
      <c r="E493" s="174"/>
      <c r="F493" s="174"/>
      <c r="G493" s="174"/>
      <c r="H493" s="174"/>
      <c r="I493" s="174"/>
      <c r="J493" s="174"/>
      <c r="K493" s="174"/>
      <c r="L493" s="174"/>
      <c r="M493" s="174"/>
      <c r="N493" s="174"/>
      <c r="O493" s="10"/>
    </row>
    <row r="494" spans="1:15" x14ac:dyDescent="0.25">
      <c r="A494" s="178"/>
      <c r="B494" s="179"/>
      <c r="C494" s="179"/>
      <c r="D494" s="179"/>
      <c r="E494" s="179"/>
      <c r="F494" s="179"/>
      <c r="G494" s="179"/>
      <c r="H494" s="179"/>
      <c r="I494" s="179"/>
      <c r="J494" s="179"/>
      <c r="K494" s="179"/>
      <c r="L494" s="179"/>
      <c r="M494" s="179"/>
      <c r="N494" s="180"/>
      <c r="O494" s="10">
        <f t="shared" ref="O494:O515" si="21">A494</f>
        <v>0</v>
      </c>
    </row>
    <row r="495" spans="1:15" x14ac:dyDescent="0.25">
      <c r="A495" s="176" t="s">
        <v>60</v>
      </c>
      <c r="B495" s="176"/>
      <c r="C495" s="176"/>
      <c r="D495" s="176"/>
      <c r="E495" s="176"/>
      <c r="F495" s="176"/>
      <c r="G495" s="176"/>
      <c r="H495" s="176"/>
      <c r="I495" s="176"/>
      <c r="J495" s="176"/>
      <c r="K495" s="176"/>
      <c r="L495" s="176"/>
      <c r="M495" s="176" t="s">
        <v>61</v>
      </c>
      <c r="N495" s="176"/>
      <c r="O495" s="10"/>
    </row>
    <row r="496" spans="1:15" x14ac:dyDescent="0.25">
      <c r="A496" s="176" t="s">
        <v>62</v>
      </c>
      <c r="B496" s="176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 t="s">
        <v>61</v>
      </c>
      <c r="N496" s="176"/>
      <c r="O496" s="10"/>
    </row>
    <row r="497" spans="1:15" x14ac:dyDescent="0.25">
      <c r="O497" s="10"/>
    </row>
    <row r="498" spans="1:15" ht="15.75" x14ac:dyDescent="0.25">
      <c r="A498" s="184" t="s">
        <v>63</v>
      </c>
      <c r="B498" s="185"/>
      <c r="C498" s="185"/>
      <c r="D498" s="185"/>
      <c r="E498" s="185"/>
      <c r="F498" s="185"/>
      <c r="G498" s="185"/>
      <c r="H498" s="185"/>
      <c r="I498" s="185"/>
      <c r="J498" s="185"/>
      <c r="K498" s="185"/>
      <c r="L498" s="185"/>
      <c r="M498" s="185"/>
      <c r="N498" s="186"/>
      <c r="O498" s="10"/>
    </row>
    <row r="499" spans="1:15" x14ac:dyDescent="0.25">
      <c r="A499" s="178"/>
      <c r="B499" s="179"/>
      <c r="C499" s="179"/>
      <c r="D499" s="179"/>
      <c r="E499" s="179"/>
      <c r="F499" s="179"/>
      <c r="G499" s="179"/>
      <c r="H499" s="179"/>
      <c r="I499" s="179"/>
      <c r="J499" s="179"/>
      <c r="K499" s="179"/>
      <c r="L499" s="179"/>
      <c r="M499" s="179"/>
      <c r="N499" s="179"/>
      <c r="O499" s="10">
        <f t="shared" si="21"/>
        <v>0</v>
      </c>
    </row>
    <row r="500" spans="1:15" x14ac:dyDescent="0.25">
      <c r="A500" s="174" t="s">
        <v>64</v>
      </c>
      <c r="B500" s="174"/>
      <c r="C500" s="174"/>
      <c r="D500" s="174"/>
      <c r="E500" s="174"/>
      <c r="F500" s="174"/>
      <c r="G500" s="174"/>
      <c r="H500" s="174"/>
      <c r="I500" s="174"/>
      <c r="J500" s="174"/>
      <c r="K500" s="174"/>
      <c r="L500" s="174"/>
      <c r="M500" s="174"/>
      <c r="N500" s="174"/>
      <c r="O500" s="10"/>
    </row>
    <row r="501" spans="1:15" x14ac:dyDescent="0.25">
      <c r="A501" s="178"/>
      <c r="B501" s="179"/>
      <c r="C501" s="179"/>
      <c r="D501" s="179"/>
      <c r="E501" s="179"/>
      <c r="F501" s="179"/>
      <c r="G501" s="179"/>
      <c r="H501" s="179"/>
      <c r="I501" s="179"/>
      <c r="J501" s="179"/>
      <c r="K501" s="179"/>
      <c r="L501" s="179"/>
      <c r="M501" s="179"/>
      <c r="N501" s="180"/>
      <c r="O501" s="10">
        <f t="shared" si="21"/>
        <v>0</v>
      </c>
    </row>
    <row r="502" spans="1:15" x14ac:dyDescent="0.25">
      <c r="A502" s="176" t="s">
        <v>60</v>
      </c>
      <c r="B502" s="176"/>
      <c r="C502" s="176"/>
      <c r="D502" s="176"/>
      <c r="E502" s="176"/>
      <c r="F502" s="176"/>
      <c r="G502" s="176"/>
      <c r="H502" s="176"/>
      <c r="I502" s="176"/>
      <c r="J502" s="176"/>
      <c r="K502" s="176"/>
      <c r="L502" s="176"/>
      <c r="M502" s="176" t="s">
        <v>61</v>
      </c>
      <c r="N502" s="176"/>
      <c r="O502" s="10"/>
    </row>
    <row r="503" spans="1:15" x14ac:dyDescent="0.25">
      <c r="A503" s="176" t="s">
        <v>62</v>
      </c>
      <c r="B503" s="176"/>
      <c r="C503" s="176"/>
      <c r="D503" s="176"/>
      <c r="E503" s="176"/>
      <c r="F503" s="176"/>
      <c r="G503" s="176"/>
      <c r="H503" s="176"/>
      <c r="I503" s="176"/>
      <c r="J503" s="176"/>
      <c r="K503" s="176"/>
      <c r="L503" s="176"/>
      <c r="M503" s="176" t="s">
        <v>61</v>
      </c>
      <c r="N503" s="176"/>
      <c r="O503" s="10"/>
    </row>
    <row r="504" spans="1:15" x14ac:dyDescent="0.25">
      <c r="O504" s="10"/>
    </row>
    <row r="505" spans="1:15" ht="15.75" x14ac:dyDescent="0.25">
      <c r="A505" s="177" t="s">
        <v>65</v>
      </c>
      <c r="B505" s="177"/>
      <c r="C505" s="177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0"/>
    </row>
    <row r="506" spans="1:15" x14ac:dyDescent="0.25">
      <c r="A506" s="178"/>
      <c r="B506" s="179"/>
      <c r="C506" s="179"/>
      <c r="D506" s="179"/>
      <c r="E506" s="179"/>
      <c r="F506" s="179"/>
      <c r="G506" s="179"/>
      <c r="H506" s="179"/>
      <c r="I506" s="179"/>
      <c r="J506" s="179"/>
      <c r="K506" s="179"/>
      <c r="L506" s="179"/>
      <c r="M506" s="179"/>
      <c r="N506" s="180"/>
      <c r="O506" s="10">
        <f t="shared" si="21"/>
        <v>0</v>
      </c>
    </row>
    <row r="507" spans="1:15" x14ac:dyDescent="0.25">
      <c r="A507" s="174" t="s">
        <v>66</v>
      </c>
      <c r="B507" s="174"/>
      <c r="C507" s="174"/>
      <c r="D507" s="174"/>
      <c r="E507" s="174"/>
      <c r="F507" s="174"/>
      <c r="G507" s="174"/>
      <c r="H507" s="174"/>
      <c r="I507" s="174"/>
      <c r="J507" s="174"/>
      <c r="K507" s="174"/>
      <c r="L507" s="174"/>
      <c r="M507" s="174"/>
      <c r="N507" s="174"/>
      <c r="O507" s="10"/>
    </row>
    <row r="508" spans="1:15" x14ac:dyDescent="0.25">
      <c r="A508" s="178"/>
      <c r="B508" s="179"/>
      <c r="C508" s="179"/>
      <c r="D508" s="179"/>
      <c r="E508" s="179"/>
      <c r="F508" s="179"/>
      <c r="G508" s="179"/>
      <c r="H508" s="179"/>
      <c r="I508" s="179"/>
      <c r="J508" s="179"/>
      <c r="K508" s="179"/>
      <c r="L508" s="179"/>
      <c r="M508" s="179"/>
      <c r="N508" s="180"/>
      <c r="O508" s="10">
        <f t="shared" si="21"/>
        <v>0</v>
      </c>
    </row>
    <row r="509" spans="1:15" x14ac:dyDescent="0.25">
      <c r="A509" s="187" t="s">
        <v>60</v>
      </c>
      <c r="B509" s="187"/>
      <c r="C509" s="187"/>
      <c r="D509" s="187"/>
      <c r="E509" s="187"/>
      <c r="F509" s="187"/>
      <c r="G509" s="187"/>
      <c r="H509" s="187"/>
      <c r="I509" s="187"/>
      <c r="J509" s="187"/>
      <c r="K509" s="187"/>
      <c r="L509" s="187"/>
      <c r="M509" s="176" t="s">
        <v>61</v>
      </c>
      <c r="N509" s="176"/>
      <c r="O509" s="10"/>
    </row>
    <row r="510" spans="1:15" x14ac:dyDescent="0.25">
      <c r="A510" s="187" t="s">
        <v>62</v>
      </c>
      <c r="B510" s="187"/>
      <c r="C510" s="187"/>
      <c r="D510" s="187"/>
      <c r="E510" s="187"/>
      <c r="F510" s="187"/>
      <c r="G510" s="187"/>
      <c r="H510" s="187"/>
      <c r="I510" s="187"/>
      <c r="J510" s="187"/>
      <c r="K510" s="187"/>
      <c r="L510" s="187"/>
      <c r="M510" s="176" t="s">
        <v>61</v>
      </c>
      <c r="N510" s="176"/>
      <c r="O510" s="10"/>
    </row>
    <row r="511" spans="1:15" x14ac:dyDescent="0.25">
      <c r="O511" s="10"/>
    </row>
    <row r="512" spans="1:15" ht="15.75" x14ac:dyDescent="0.25">
      <c r="A512" s="184" t="s">
        <v>67</v>
      </c>
      <c r="B512" s="185"/>
      <c r="C512" s="185"/>
      <c r="D512" s="185"/>
      <c r="E512" s="185"/>
      <c r="F512" s="185"/>
      <c r="G512" s="185"/>
      <c r="H512" s="185"/>
      <c r="I512" s="185"/>
      <c r="J512" s="185"/>
      <c r="K512" s="185"/>
      <c r="L512" s="185"/>
      <c r="M512" s="185"/>
      <c r="N512" s="186"/>
      <c r="O512" s="10"/>
    </row>
    <row r="513" spans="1:15" x14ac:dyDescent="0.25">
      <c r="A513" s="178"/>
      <c r="B513" s="179"/>
      <c r="C513" s="179"/>
      <c r="D513" s="179"/>
      <c r="E513" s="179"/>
      <c r="F513" s="179"/>
      <c r="G513" s="179"/>
      <c r="H513" s="179"/>
      <c r="I513" s="179"/>
      <c r="J513" s="179"/>
      <c r="K513" s="179"/>
      <c r="L513" s="179"/>
      <c r="M513" s="179"/>
      <c r="N513" s="180"/>
      <c r="O513" s="10">
        <f t="shared" si="21"/>
        <v>0</v>
      </c>
    </row>
    <row r="514" spans="1:15" x14ac:dyDescent="0.25">
      <c r="A514" s="174" t="s">
        <v>68</v>
      </c>
      <c r="B514" s="174"/>
      <c r="C514" s="174"/>
      <c r="D514" s="174"/>
      <c r="E514" s="174"/>
      <c r="F514" s="174"/>
      <c r="G514" s="174"/>
      <c r="H514" s="174"/>
      <c r="I514" s="174"/>
      <c r="J514" s="174"/>
      <c r="K514" s="174"/>
      <c r="L514" s="174"/>
      <c r="M514" s="174"/>
      <c r="N514" s="174"/>
      <c r="O514" s="10"/>
    </row>
    <row r="515" spans="1:15" x14ac:dyDescent="0.25">
      <c r="A515" s="178"/>
      <c r="B515" s="179"/>
      <c r="C515" s="179"/>
      <c r="D515" s="179"/>
      <c r="E515" s="179"/>
      <c r="F515" s="179"/>
      <c r="G515" s="179"/>
      <c r="H515" s="179"/>
      <c r="I515" s="179"/>
      <c r="J515" s="179"/>
      <c r="K515" s="179"/>
      <c r="L515" s="179"/>
      <c r="M515" s="179"/>
      <c r="N515" s="180"/>
      <c r="O515" s="10">
        <f t="shared" si="21"/>
        <v>0</v>
      </c>
    </row>
    <row r="516" spans="1:15" x14ac:dyDescent="0.25">
      <c r="A516" s="176" t="s">
        <v>60</v>
      </c>
      <c r="B516" s="176"/>
      <c r="C516" s="176"/>
      <c r="D516" s="176"/>
      <c r="E516" s="176"/>
      <c r="F516" s="176"/>
      <c r="G516" s="176"/>
      <c r="H516" s="176"/>
      <c r="I516" s="176"/>
      <c r="J516" s="176"/>
      <c r="K516" s="176"/>
      <c r="L516" s="176"/>
      <c r="M516" s="176" t="s">
        <v>61</v>
      </c>
      <c r="N516" s="176"/>
      <c r="O516" s="10"/>
    </row>
    <row r="517" spans="1:15" x14ac:dyDescent="0.25">
      <c r="A517" s="176" t="s">
        <v>62</v>
      </c>
      <c r="B517" s="176"/>
      <c r="C517" s="176"/>
      <c r="D517" s="176"/>
      <c r="E517" s="176"/>
      <c r="F517" s="176"/>
      <c r="G517" s="176"/>
      <c r="H517" s="176"/>
      <c r="I517" s="176"/>
      <c r="J517" s="176"/>
      <c r="K517" s="176"/>
      <c r="L517" s="176"/>
      <c r="M517" s="176" t="s">
        <v>61</v>
      </c>
      <c r="N517" s="176"/>
      <c r="O517" s="10"/>
    </row>
    <row r="518" spans="1:15" x14ac:dyDescent="0.25">
      <c r="A518" s="209" t="s">
        <v>91</v>
      </c>
      <c r="B518" s="209"/>
      <c r="C518" s="209"/>
      <c r="D518" s="209"/>
      <c r="E518" s="209"/>
      <c r="F518" s="209"/>
      <c r="G518" s="209"/>
      <c r="H518" s="209"/>
      <c r="I518" s="209"/>
      <c r="J518" s="209"/>
      <c r="K518" s="209"/>
      <c r="L518" s="209"/>
      <c r="M518" s="209"/>
      <c r="N518" s="209"/>
      <c r="O518" s="4"/>
    </row>
    <row r="519" spans="1:15" x14ac:dyDescent="0.25">
      <c r="A519" s="209" t="s">
        <v>89</v>
      </c>
      <c r="B519" s="209"/>
      <c r="C519" s="209"/>
      <c r="D519" s="209"/>
      <c r="E519" s="209"/>
      <c r="F519" s="209"/>
      <c r="G519" s="209"/>
      <c r="H519" s="209"/>
      <c r="I519" s="209"/>
      <c r="J519" s="209"/>
      <c r="K519" s="209"/>
      <c r="L519" s="209"/>
      <c r="M519" s="209"/>
      <c r="N519" s="209"/>
      <c r="O519" s="4"/>
    </row>
    <row r="520" spans="1:15" x14ac:dyDescent="0.25">
      <c r="A520" s="209" t="s">
        <v>44</v>
      </c>
      <c r="B520" s="209"/>
      <c r="C520" s="209"/>
      <c r="D520" s="209"/>
      <c r="E520" s="209"/>
      <c r="F520" s="209"/>
      <c r="G520" s="209"/>
      <c r="H520" s="209"/>
      <c r="I520" s="209"/>
      <c r="J520" s="209"/>
      <c r="K520" s="209"/>
      <c r="L520" s="209"/>
      <c r="M520" s="209"/>
      <c r="N520" s="209"/>
      <c r="O520" s="4"/>
    </row>
    <row r="521" spans="1:15" ht="15.75" x14ac:dyDescent="0.25">
      <c r="A521" s="210" t="s">
        <v>72</v>
      </c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0"/>
      <c r="M521" s="210"/>
      <c r="N521" s="210"/>
      <c r="O521" s="4"/>
    </row>
    <row r="522" spans="1:15" ht="15.75" x14ac:dyDescent="0.25">
      <c r="A522" s="211" t="s">
        <v>125</v>
      </c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4"/>
    </row>
    <row r="523" spans="1:15" ht="15.75" x14ac:dyDescent="0.25">
      <c r="A523" s="5" t="s">
        <v>46</v>
      </c>
      <c r="B523" s="208" t="s">
        <v>123</v>
      </c>
      <c r="C523" s="208"/>
      <c r="D523" s="208"/>
      <c r="E523" s="208"/>
      <c r="F523" s="208"/>
      <c r="G523" s="208"/>
      <c r="H523" s="208"/>
      <c r="I523" s="208"/>
      <c r="J523" s="208"/>
      <c r="K523" s="208"/>
      <c r="L523" s="208"/>
      <c r="M523" s="208"/>
      <c r="N523" s="208"/>
      <c r="O523" s="4"/>
    </row>
    <row r="524" spans="1:15" ht="15.75" x14ac:dyDescent="0.25">
      <c r="A524" s="5" t="s">
        <v>47</v>
      </c>
      <c r="B524" s="175" t="s">
        <v>104</v>
      </c>
      <c r="C524" s="175"/>
      <c r="D524" s="175"/>
      <c r="E524" s="175"/>
      <c r="F524" s="175"/>
      <c r="G524" s="175"/>
      <c r="H524" s="175"/>
      <c r="I524" s="175"/>
      <c r="J524" s="175"/>
      <c r="K524" s="175"/>
      <c r="L524" s="174" t="s">
        <v>74</v>
      </c>
      <c r="M524" s="174"/>
      <c r="N524" s="34">
        <v>24875.886853187832</v>
      </c>
      <c r="O524" s="4"/>
    </row>
    <row r="525" spans="1:15" x14ac:dyDescent="0.25">
      <c r="A525" s="6" t="s">
        <v>21</v>
      </c>
      <c r="B525" s="7" t="s">
        <v>92</v>
      </c>
      <c r="C525" s="6" t="s">
        <v>22</v>
      </c>
      <c r="D525" s="7">
        <v>2020</v>
      </c>
      <c r="E525" s="194" t="s">
        <v>20</v>
      </c>
      <c r="F525" s="194"/>
      <c r="G525" s="194"/>
      <c r="H525" s="195" t="s">
        <v>124</v>
      </c>
      <c r="I525" s="196"/>
      <c r="J525" s="196"/>
      <c r="K525" s="196"/>
      <c r="L525" s="196"/>
      <c r="M525" s="196"/>
      <c r="N525" s="197"/>
      <c r="O525" s="4"/>
    </row>
    <row r="526" spans="1:15" x14ac:dyDescent="0.25">
      <c r="A526" s="198" t="s">
        <v>48</v>
      </c>
      <c r="B526" s="199"/>
      <c r="C526" s="200"/>
      <c r="D526" s="204" t="s">
        <v>49</v>
      </c>
      <c r="E526" s="205"/>
      <c r="F526" s="205"/>
      <c r="G526" s="205"/>
      <c r="H526" s="206"/>
      <c r="I526" s="207" t="s">
        <v>50</v>
      </c>
      <c r="J526" s="207"/>
      <c r="K526" s="207"/>
      <c r="L526" s="207"/>
      <c r="M526" s="207"/>
      <c r="N526" s="207"/>
      <c r="O526" s="4"/>
    </row>
    <row r="527" spans="1:15" ht="30" x14ac:dyDescent="0.25">
      <c r="A527" s="201"/>
      <c r="B527" s="202"/>
      <c r="C527" s="203"/>
      <c r="D527" s="8" t="s">
        <v>51</v>
      </c>
      <c r="E527" s="8" t="s">
        <v>52</v>
      </c>
      <c r="F527" s="8" t="s">
        <v>53</v>
      </c>
      <c r="G527" s="8" t="s">
        <v>54</v>
      </c>
      <c r="H527" s="8" t="s">
        <v>55</v>
      </c>
      <c r="I527" s="33" t="s">
        <v>51</v>
      </c>
      <c r="J527" s="33" t="s">
        <v>52</v>
      </c>
      <c r="K527" s="33" t="s">
        <v>53</v>
      </c>
      <c r="L527" s="33" t="s">
        <v>54</v>
      </c>
      <c r="M527" s="201" t="s">
        <v>56</v>
      </c>
      <c r="N527" s="203"/>
      <c r="O527" s="4"/>
    </row>
    <row r="528" spans="1:15" x14ac:dyDescent="0.25">
      <c r="A528" s="181" t="s">
        <v>2</v>
      </c>
      <c r="B528" s="182"/>
      <c r="C528" s="183"/>
      <c r="D528" s="9" t="s">
        <v>57</v>
      </c>
      <c r="E528" s="9" t="s">
        <v>57</v>
      </c>
      <c r="F528" s="9" t="s">
        <v>57</v>
      </c>
      <c r="G528" s="9" t="s">
        <v>57</v>
      </c>
      <c r="H528" s="9"/>
      <c r="I528" s="15">
        <v>0</v>
      </c>
      <c r="J528" s="15">
        <v>0</v>
      </c>
      <c r="K528" s="15">
        <v>0</v>
      </c>
      <c r="L528" s="15">
        <v>0</v>
      </c>
      <c r="M528" s="190">
        <f>I528+J528+K528+L528</f>
        <v>0</v>
      </c>
      <c r="N528" s="191"/>
      <c r="O528" s="4"/>
    </row>
    <row r="529" spans="1:15" x14ac:dyDescent="0.25">
      <c r="A529" s="181" t="s">
        <v>3</v>
      </c>
      <c r="B529" s="182"/>
      <c r="C529" s="183"/>
      <c r="D529" s="9" t="s">
        <v>57</v>
      </c>
      <c r="E529" s="9" t="s">
        <v>57</v>
      </c>
      <c r="F529" s="9" t="s">
        <v>57</v>
      </c>
      <c r="G529" s="9" t="s">
        <v>57</v>
      </c>
      <c r="H529" s="9"/>
      <c r="I529" s="15">
        <v>0</v>
      </c>
      <c r="J529" s="15">
        <v>0</v>
      </c>
      <c r="K529" s="15">
        <v>0</v>
      </c>
      <c r="L529" s="15">
        <v>0</v>
      </c>
      <c r="M529" s="192">
        <f t="shared" ref="M529:M536" si="22">I529+J529+K529+L529</f>
        <v>0</v>
      </c>
      <c r="N529" s="193"/>
      <c r="O529" s="4"/>
    </row>
    <row r="530" spans="1:15" x14ac:dyDescent="0.25">
      <c r="A530" s="181" t="s">
        <v>4</v>
      </c>
      <c r="B530" s="182"/>
      <c r="C530" s="183"/>
      <c r="D530" s="9" t="s">
        <v>57</v>
      </c>
      <c r="E530" s="9" t="s">
        <v>57</v>
      </c>
      <c r="F530" s="9" t="s">
        <v>57</v>
      </c>
      <c r="G530" s="9" t="s">
        <v>57</v>
      </c>
      <c r="H530" s="9"/>
      <c r="I530" s="15">
        <v>0</v>
      </c>
      <c r="J530" s="15">
        <v>0</v>
      </c>
      <c r="K530" s="15">
        <v>0</v>
      </c>
      <c r="L530" s="15">
        <v>0</v>
      </c>
      <c r="M530" s="192">
        <f t="shared" si="22"/>
        <v>0</v>
      </c>
      <c r="N530" s="193"/>
      <c r="O530" s="4"/>
    </row>
    <row r="531" spans="1:15" x14ac:dyDescent="0.25">
      <c r="A531" s="181" t="s">
        <v>5</v>
      </c>
      <c r="B531" s="182"/>
      <c r="C531" s="183"/>
      <c r="D531" s="9" t="s">
        <v>57</v>
      </c>
      <c r="E531" s="9" t="s">
        <v>57</v>
      </c>
      <c r="F531" s="9" t="s">
        <v>57</v>
      </c>
      <c r="G531" s="9" t="s">
        <v>57</v>
      </c>
      <c r="H531" s="9"/>
      <c r="I531" s="15">
        <v>0</v>
      </c>
      <c r="J531" s="15">
        <v>0</v>
      </c>
      <c r="K531" s="15">
        <v>0</v>
      </c>
      <c r="L531" s="15">
        <v>0</v>
      </c>
      <c r="M531" s="192">
        <f t="shared" si="22"/>
        <v>0</v>
      </c>
      <c r="N531" s="193"/>
      <c r="O531" s="4"/>
    </row>
    <row r="532" spans="1:15" x14ac:dyDescent="0.25">
      <c r="A532" s="181" t="s">
        <v>6</v>
      </c>
      <c r="B532" s="182"/>
      <c r="C532" s="183"/>
      <c r="D532" s="9" t="s">
        <v>57</v>
      </c>
      <c r="E532" s="9" t="s">
        <v>57</v>
      </c>
      <c r="F532" s="9" t="s">
        <v>57</v>
      </c>
      <c r="G532" s="9" t="s">
        <v>57</v>
      </c>
      <c r="H532" s="9"/>
      <c r="I532" s="15">
        <v>0</v>
      </c>
      <c r="J532" s="15">
        <v>0</v>
      </c>
      <c r="K532" s="15">
        <v>0</v>
      </c>
      <c r="L532" s="15">
        <v>0</v>
      </c>
      <c r="M532" s="192">
        <f t="shared" si="22"/>
        <v>0</v>
      </c>
      <c r="N532" s="193"/>
      <c r="O532" s="4"/>
    </row>
    <row r="533" spans="1:15" x14ac:dyDescent="0.25">
      <c r="A533" s="181" t="s">
        <v>8</v>
      </c>
      <c r="B533" s="182"/>
      <c r="C533" s="183"/>
      <c r="D533" s="9" t="s">
        <v>57</v>
      </c>
      <c r="E533" s="9" t="s">
        <v>57</v>
      </c>
      <c r="F533" s="9" t="s">
        <v>57</v>
      </c>
      <c r="G533" s="9" t="s">
        <v>57</v>
      </c>
      <c r="H533" s="9"/>
      <c r="I533" s="15">
        <v>0</v>
      </c>
      <c r="J533" s="15">
        <v>0</v>
      </c>
      <c r="K533" s="15">
        <v>0</v>
      </c>
      <c r="L533" s="15">
        <v>0</v>
      </c>
      <c r="M533" s="192">
        <f t="shared" si="22"/>
        <v>0</v>
      </c>
      <c r="N533" s="193"/>
      <c r="O533" s="4"/>
    </row>
    <row r="534" spans="1:15" x14ac:dyDescent="0.25">
      <c r="A534" s="181" t="s">
        <v>38</v>
      </c>
      <c r="B534" s="182"/>
      <c r="C534" s="183"/>
      <c r="D534" s="9" t="s">
        <v>57</v>
      </c>
      <c r="E534" s="9" t="s">
        <v>57</v>
      </c>
      <c r="F534" s="9" t="s">
        <v>57</v>
      </c>
      <c r="G534" s="9" t="s">
        <v>57</v>
      </c>
      <c r="H534" s="9"/>
      <c r="I534" s="15">
        <v>0</v>
      </c>
      <c r="J534" s="15">
        <v>0</v>
      </c>
      <c r="K534" s="15">
        <v>0</v>
      </c>
      <c r="L534" s="15">
        <v>0</v>
      </c>
      <c r="M534" s="192">
        <f t="shared" si="22"/>
        <v>0</v>
      </c>
      <c r="N534" s="193"/>
      <c r="O534" s="4"/>
    </row>
    <row r="535" spans="1:15" x14ac:dyDescent="0.25">
      <c r="A535" s="181" t="s">
        <v>7</v>
      </c>
      <c r="B535" s="182"/>
      <c r="C535" s="183"/>
      <c r="D535" s="9" t="s">
        <v>57</v>
      </c>
      <c r="E535" s="9" t="s">
        <v>57</v>
      </c>
      <c r="F535" s="9" t="s">
        <v>57</v>
      </c>
      <c r="G535" s="9" t="s">
        <v>57</v>
      </c>
      <c r="H535" s="9"/>
      <c r="I535" s="15">
        <v>0</v>
      </c>
      <c r="J535" s="15">
        <v>0</v>
      </c>
      <c r="K535" s="15">
        <v>0</v>
      </c>
      <c r="L535" s="15">
        <v>0</v>
      </c>
      <c r="M535" s="192">
        <f t="shared" si="22"/>
        <v>0</v>
      </c>
      <c r="N535" s="193"/>
      <c r="O535" s="4"/>
    </row>
    <row r="536" spans="1:15" x14ac:dyDescent="0.25">
      <c r="A536" s="181" t="s">
        <v>90</v>
      </c>
      <c r="B536" s="182"/>
      <c r="C536" s="183"/>
      <c r="D536" s="9" t="s">
        <v>57</v>
      </c>
      <c r="E536" s="9" t="s">
        <v>57</v>
      </c>
      <c r="F536" s="9" t="s">
        <v>57</v>
      </c>
      <c r="G536" s="9" t="s">
        <v>57</v>
      </c>
      <c r="H536" s="9"/>
      <c r="I536" s="15">
        <v>0</v>
      </c>
      <c r="J536" s="15">
        <v>0</v>
      </c>
      <c r="K536" s="15">
        <v>0</v>
      </c>
      <c r="L536" s="15">
        <v>0</v>
      </c>
      <c r="M536" s="188">
        <f t="shared" si="22"/>
        <v>0</v>
      </c>
      <c r="N536" s="189"/>
      <c r="O536" s="4"/>
    </row>
    <row r="537" spans="1:15" x14ac:dyDescent="0.25">
      <c r="O537" s="4"/>
    </row>
    <row r="538" spans="1:15" ht="15.75" x14ac:dyDescent="0.25">
      <c r="A538" s="177" t="s">
        <v>58</v>
      </c>
      <c r="B538" s="177"/>
      <c r="C538" s="177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4"/>
    </row>
    <row r="539" spans="1:15" x14ac:dyDescent="0.25">
      <c r="A539" s="178"/>
      <c r="B539" s="179"/>
      <c r="C539" s="179"/>
      <c r="D539" s="179"/>
      <c r="E539" s="179"/>
      <c r="F539" s="179"/>
      <c r="G539" s="179"/>
      <c r="H539" s="179"/>
      <c r="I539" s="179"/>
      <c r="J539" s="179"/>
      <c r="K539" s="179"/>
      <c r="L539" s="179"/>
      <c r="M539" s="179"/>
      <c r="N539" s="180"/>
      <c r="O539" s="10">
        <f>A539</f>
        <v>0</v>
      </c>
    </row>
    <row r="540" spans="1:15" x14ac:dyDescent="0.25">
      <c r="A540" s="174" t="s">
        <v>59</v>
      </c>
      <c r="B540" s="174"/>
      <c r="C540" s="174"/>
      <c r="D540" s="174"/>
      <c r="E540" s="174"/>
      <c r="F540" s="174"/>
      <c r="G540" s="174"/>
      <c r="H540" s="174"/>
      <c r="I540" s="174"/>
      <c r="J540" s="174"/>
      <c r="K540" s="174"/>
      <c r="L540" s="174"/>
      <c r="M540" s="174"/>
      <c r="N540" s="174"/>
      <c r="O540" s="10"/>
    </row>
    <row r="541" spans="1:15" x14ac:dyDescent="0.25">
      <c r="A541" s="178"/>
      <c r="B541" s="179"/>
      <c r="C541" s="179"/>
      <c r="D541" s="179"/>
      <c r="E541" s="179"/>
      <c r="F541" s="179"/>
      <c r="G541" s="179"/>
      <c r="H541" s="179"/>
      <c r="I541" s="179"/>
      <c r="J541" s="179"/>
      <c r="K541" s="179"/>
      <c r="L541" s="179"/>
      <c r="M541" s="179"/>
      <c r="N541" s="180"/>
      <c r="O541" s="10">
        <f t="shared" ref="O541:O562" si="23">A541</f>
        <v>0</v>
      </c>
    </row>
    <row r="542" spans="1:15" x14ac:dyDescent="0.25">
      <c r="A542" s="176" t="s">
        <v>60</v>
      </c>
      <c r="B542" s="176"/>
      <c r="C542" s="176"/>
      <c r="D542" s="176"/>
      <c r="E542" s="176"/>
      <c r="F542" s="176"/>
      <c r="G542" s="176"/>
      <c r="H542" s="176"/>
      <c r="I542" s="176"/>
      <c r="J542" s="176"/>
      <c r="K542" s="176"/>
      <c r="L542" s="176"/>
      <c r="M542" s="176" t="s">
        <v>61</v>
      </c>
      <c r="N542" s="176"/>
      <c r="O542" s="10"/>
    </row>
    <row r="543" spans="1:15" x14ac:dyDescent="0.25">
      <c r="A543" s="176" t="s">
        <v>62</v>
      </c>
      <c r="B543" s="176"/>
      <c r="C543" s="176"/>
      <c r="D543" s="176"/>
      <c r="E543" s="176"/>
      <c r="F543" s="176"/>
      <c r="G543" s="176"/>
      <c r="H543" s="176"/>
      <c r="I543" s="176"/>
      <c r="J543" s="176"/>
      <c r="K543" s="176"/>
      <c r="L543" s="176"/>
      <c r="M543" s="176" t="s">
        <v>61</v>
      </c>
      <c r="N543" s="176"/>
      <c r="O543" s="10"/>
    </row>
    <row r="544" spans="1:15" x14ac:dyDescent="0.25">
      <c r="O544" s="10"/>
    </row>
    <row r="545" spans="1:15" ht="15.75" x14ac:dyDescent="0.25">
      <c r="A545" s="184" t="s">
        <v>63</v>
      </c>
      <c r="B545" s="185"/>
      <c r="C545" s="185"/>
      <c r="D545" s="185"/>
      <c r="E545" s="185"/>
      <c r="F545" s="185"/>
      <c r="G545" s="185"/>
      <c r="H545" s="185"/>
      <c r="I545" s="185"/>
      <c r="J545" s="185"/>
      <c r="K545" s="185"/>
      <c r="L545" s="185"/>
      <c r="M545" s="185"/>
      <c r="N545" s="186"/>
      <c r="O545" s="10"/>
    </row>
    <row r="546" spans="1:15" x14ac:dyDescent="0.25">
      <c r="A546" s="178"/>
      <c r="B546" s="179"/>
      <c r="C546" s="179"/>
      <c r="D546" s="179"/>
      <c r="E546" s="179"/>
      <c r="F546" s="179"/>
      <c r="G546" s="179"/>
      <c r="H546" s="179"/>
      <c r="I546" s="179"/>
      <c r="J546" s="179"/>
      <c r="K546" s="179"/>
      <c r="L546" s="179"/>
      <c r="M546" s="179"/>
      <c r="N546" s="179"/>
      <c r="O546" s="10">
        <f t="shared" si="23"/>
        <v>0</v>
      </c>
    </row>
    <row r="547" spans="1:15" x14ac:dyDescent="0.25">
      <c r="A547" s="174" t="s">
        <v>64</v>
      </c>
      <c r="B547" s="174"/>
      <c r="C547" s="174"/>
      <c r="D547" s="174"/>
      <c r="E547" s="174"/>
      <c r="F547" s="174"/>
      <c r="G547" s="174"/>
      <c r="H547" s="174"/>
      <c r="I547" s="174"/>
      <c r="J547" s="174"/>
      <c r="K547" s="174"/>
      <c r="L547" s="174"/>
      <c r="M547" s="174"/>
      <c r="N547" s="174"/>
      <c r="O547" s="10"/>
    </row>
    <row r="548" spans="1:15" x14ac:dyDescent="0.25">
      <c r="A548" s="178"/>
      <c r="B548" s="179"/>
      <c r="C548" s="179"/>
      <c r="D548" s="179"/>
      <c r="E548" s="179"/>
      <c r="F548" s="179"/>
      <c r="G548" s="179"/>
      <c r="H548" s="179"/>
      <c r="I548" s="179"/>
      <c r="J548" s="179"/>
      <c r="K548" s="179"/>
      <c r="L548" s="179"/>
      <c r="M548" s="179"/>
      <c r="N548" s="180"/>
      <c r="O548" s="10">
        <f t="shared" si="23"/>
        <v>0</v>
      </c>
    </row>
    <row r="549" spans="1:15" x14ac:dyDescent="0.25">
      <c r="A549" s="176" t="s">
        <v>60</v>
      </c>
      <c r="B549" s="176"/>
      <c r="C549" s="176"/>
      <c r="D549" s="176"/>
      <c r="E549" s="176"/>
      <c r="F549" s="176"/>
      <c r="G549" s="176"/>
      <c r="H549" s="176"/>
      <c r="I549" s="176"/>
      <c r="J549" s="176"/>
      <c r="K549" s="176"/>
      <c r="L549" s="176"/>
      <c r="M549" s="176" t="s">
        <v>61</v>
      </c>
      <c r="N549" s="176"/>
      <c r="O549" s="10"/>
    </row>
    <row r="550" spans="1:15" x14ac:dyDescent="0.25">
      <c r="A550" s="176" t="s">
        <v>62</v>
      </c>
      <c r="B550" s="176"/>
      <c r="C550" s="176"/>
      <c r="D550" s="176"/>
      <c r="E550" s="176"/>
      <c r="F550" s="176"/>
      <c r="G550" s="176"/>
      <c r="H550" s="176"/>
      <c r="I550" s="176"/>
      <c r="J550" s="176"/>
      <c r="K550" s="176"/>
      <c r="L550" s="176"/>
      <c r="M550" s="176" t="s">
        <v>61</v>
      </c>
      <c r="N550" s="176"/>
      <c r="O550" s="10"/>
    </row>
    <row r="551" spans="1:15" x14ac:dyDescent="0.25">
      <c r="O551" s="10"/>
    </row>
    <row r="552" spans="1:15" ht="15.75" x14ac:dyDescent="0.25">
      <c r="A552" s="177" t="s">
        <v>65</v>
      </c>
      <c r="B552" s="177"/>
      <c r="C552" s="177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0"/>
    </row>
    <row r="553" spans="1:15" x14ac:dyDescent="0.25">
      <c r="A553" s="178"/>
      <c r="B553" s="179"/>
      <c r="C553" s="179"/>
      <c r="D553" s="179"/>
      <c r="E553" s="179"/>
      <c r="F553" s="179"/>
      <c r="G553" s="179"/>
      <c r="H553" s="179"/>
      <c r="I553" s="179"/>
      <c r="J553" s="179"/>
      <c r="K553" s="179"/>
      <c r="L553" s="179"/>
      <c r="M553" s="179"/>
      <c r="N553" s="180"/>
      <c r="O553" s="10">
        <f t="shared" si="23"/>
        <v>0</v>
      </c>
    </row>
    <row r="554" spans="1:15" x14ac:dyDescent="0.25">
      <c r="A554" s="174" t="s">
        <v>66</v>
      </c>
      <c r="B554" s="174"/>
      <c r="C554" s="174"/>
      <c r="D554" s="174"/>
      <c r="E554" s="174"/>
      <c r="F554" s="174"/>
      <c r="G554" s="174"/>
      <c r="H554" s="174"/>
      <c r="I554" s="174"/>
      <c r="J554" s="174"/>
      <c r="K554" s="174"/>
      <c r="L554" s="174"/>
      <c r="M554" s="174"/>
      <c r="N554" s="174"/>
      <c r="O554" s="10"/>
    </row>
    <row r="555" spans="1:15" x14ac:dyDescent="0.25">
      <c r="A555" s="178"/>
      <c r="B555" s="179"/>
      <c r="C555" s="179"/>
      <c r="D555" s="179"/>
      <c r="E555" s="179"/>
      <c r="F555" s="179"/>
      <c r="G555" s="179"/>
      <c r="H555" s="179"/>
      <c r="I555" s="179"/>
      <c r="J555" s="179"/>
      <c r="K555" s="179"/>
      <c r="L555" s="179"/>
      <c r="M555" s="179"/>
      <c r="N555" s="180"/>
      <c r="O555" s="10">
        <f t="shared" si="23"/>
        <v>0</v>
      </c>
    </row>
    <row r="556" spans="1:15" x14ac:dyDescent="0.25">
      <c r="A556" s="187" t="s">
        <v>60</v>
      </c>
      <c r="B556" s="187"/>
      <c r="C556" s="187"/>
      <c r="D556" s="187"/>
      <c r="E556" s="187"/>
      <c r="F556" s="187"/>
      <c r="G556" s="187"/>
      <c r="H556" s="187"/>
      <c r="I556" s="187"/>
      <c r="J556" s="187"/>
      <c r="K556" s="187"/>
      <c r="L556" s="187"/>
      <c r="M556" s="176" t="s">
        <v>61</v>
      </c>
      <c r="N556" s="176"/>
      <c r="O556" s="10"/>
    </row>
    <row r="557" spans="1:15" x14ac:dyDescent="0.25">
      <c r="A557" s="187" t="s">
        <v>62</v>
      </c>
      <c r="B557" s="187"/>
      <c r="C557" s="187"/>
      <c r="D557" s="187"/>
      <c r="E557" s="187"/>
      <c r="F557" s="187"/>
      <c r="G557" s="187"/>
      <c r="H557" s="187"/>
      <c r="I557" s="187"/>
      <c r="J557" s="187"/>
      <c r="K557" s="187"/>
      <c r="L557" s="187"/>
      <c r="M557" s="176" t="s">
        <v>61</v>
      </c>
      <c r="N557" s="176"/>
      <c r="O557" s="10"/>
    </row>
    <row r="558" spans="1:15" x14ac:dyDescent="0.25">
      <c r="O558" s="10"/>
    </row>
    <row r="559" spans="1:15" ht="15.75" x14ac:dyDescent="0.25">
      <c r="A559" s="184" t="s">
        <v>67</v>
      </c>
      <c r="B559" s="185"/>
      <c r="C559" s="185"/>
      <c r="D559" s="185"/>
      <c r="E559" s="185"/>
      <c r="F559" s="185"/>
      <c r="G559" s="185"/>
      <c r="H559" s="185"/>
      <c r="I559" s="185"/>
      <c r="J559" s="185"/>
      <c r="K559" s="185"/>
      <c r="L559" s="185"/>
      <c r="M559" s="185"/>
      <c r="N559" s="186"/>
      <c r="O559" s="10"/>
    </row>
    <row r="560" spans="1:15" x14ac:dyDescent="0.25">
      <c r="A560" s="178"/>
      <c r="B560" s="179"/>
      <c r="C560" s="179"/>
      <c r="D560" s="179"/>
      <c r="E560" s="179"/>
      <c r="F560" s="179"/>
      <c r="G560" s="179"/>
      <c r="H560" s="179"/>
      <c r="I560" s="179"/>
      <c r="J560" s="179"/>
      <c r="K560" s="179"/>
      <c r="L560" s="179"/>
      <c r="M560" s="179"/>
      <c r="N560" s="180"/>
      <c r="O560" s="10">
        <f t="shared" si="23"/>
        <v>0</v>
      </c>
    </row>
    <row r="561" spans="1:15" x14ac:dyDescent="0.25">
      <c r="A561" s="174" t="s">
        <v>68</v>
      </c>
      <c r="B561" s="174"/>
      <c r="C561" s="174"/>
      <c r="D561" s="174"/>
      <c r="E561" s="174"/>
      <c r="F561" s="174"/>
      <c r="G561" s="174"/>
      <c r="H561" s="174"/>
      <c r="I561" s="174"/>
      <c r="J561" s="174"/>
      <c r="K561" s="174"/>
      <c r="L561" s="174"/>
      <c r="M561" s="174"/>
      <c r="N561" s="174"/>
      <c r="O561" s="10"/>
    </row>
    <row r="562" spans="1:15" x14ac:dyDescent="0.25">
      <c r="A562" s="178"/>
      <c r="B562" s="179"/>
      <c r="C562" s="179"/>
      <c r="D562" s="179"/>
      <c r="E562" s="179"/>
      <c r="F562" s="179"/>
      <c r="G562" s="179"/>
      <c r="H562" s="179"/>
      <c r="I562" s="179"/>
      <c r="J562" s="179"/>
      <c r="K562" s="179"/>
      <c r="L562" s="179"/>
      <c r="M562" s="179"/>
      <c r="N562" s="180"/>
      <c r="O562" s="10">
        <f t="shared" si="23"/>
        <v>0</v>
      </c>
    </row>
    <row r="563" spans="1:15" x14ac:dyDescent="0.25">
      <c r="A563" s="176" t="s">
        <v>60</v>
      </c>
      <c r="B563" s="176"/>
      <c r="C563" s="176"/>
      <c r="D563" s="176"/>
      <c r="E563" s="176"/>
      <c r="F563" s="176"/>
      <c r="G563" s="176"/>
      <c r="H563" s="176"/>
      <c r="I563" s="176"/>
      <c r="J563" s="176"/>
      <c r="K563" s="176"/>
      <c r="L563" s="176"/>
      <c r="M563" s="176" t="s">
        <v>61</v>
      </c>
      <c r="N563" s="176"/>
      <c r="O563" s="10"/>
    </row>
    <row r="564" spans="1:15" x14ac:dyDescent="0.25">
      <c r="A564" s="176" t="s">
        <v>62</v>
      </c>
      <c r="B564" s="176"/>
      <c r="C564" s="176"/>
      <c r="D564" s="176"/>
      <c r="E564" s="176"/>
      <c r="F564" s="176"/>
      <c r="G564" s="176"/>
      <c r="H564" s="176"/>
      <c r="I564" s="176"/>
      <c r="J564" s="176"/>
      <c r="K564" s="176"/>
      <c r="L564" s="176"/>
      <c r="M564" s="176" t="s">
        <v>61</v>
      </c>
      <c r="N564" s="176"/>
      <c r="O564" s="10"/>
    </row>
    <row r="565" spans="1:15" x14ac:dyDescent="0.25">
      <c r="A565" s="209" t="s">
        <v>91</v>
      </c>
      <c r="B565" s="209"/>
      <c r="C565" s="209"/>
      <c r="D565" s="209"/>
      <c r="E565" s="209"/>
      <c r="F565" s="209"/>
      <c r="G565" s="209"/>
      <c r="H565" s="209"/>
      <c r="I565" s="209"/>
      <c r="J565" s="209"/>
      <c r="K565" s="209"/>
      <c r="L565" s="209"/>
      <c r="M565" s="209"/>
      <c r="N565" s="209"/>
      <c r="O565" s="4"/>
    </row>
    <row r="566" spans="1:15" x14ac:dyDescent="0.25">
      <c r="A566" s="209" t="s">
        <v>89</v>
      </c>
      <c r="B566" s="209"/>
      <c r="C566" s="209"/>
      <c r="D566" s="209"/>
      <c r="E566" s="209"/>
      <c r="F566" s="209"/>
      <c r="G566" s="209"/>
      <c r="H566" s="209"/>
      <c r="I566" s="209"/>
      <c r="J566" s="209"/>
      <c r="K566" s="209"/>
      <c r="L566" s="209"/>
      <c r="M566" s="209"/>
      <c r="N566" s="209"/>
      <c r="O566" s="4"/>
    </row>
    <row r="567" spans="1:15" x14ac:dyDescent="0.25">
      <c r="A567" s="209" t="s">
        <v>44</v>
      </c>
      <c r="B567" s="209"/>
      <c r="C567" s="209"/>
      <c r="D567" s="209"/>
      <c r="E567" s="209"/>
      <c r="F567" s="209"/>
      <c r="G567" s="209"/>
      <c r="H567" s="209"/>
      <c r="I567" s="209"/>
      <c r="J567" s="209"/>
      <c r="K567" s="209"/>
      <c r="L567" s="209"/>
      <c r="M567" s="209"/>
      <c r="N567" s="209"/>
      <c r="O567" s="4"/>
    </row>
    <row r="568" spans="1:15" ht="15.75" x14ac:dyDescent="0.25">
      <c r="A568" s="210" t="s">
        <v>72</v>
      </c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0"/>
      <c r="M568" s="210"/>
      <c r="N568" s="210"/>
      <c r="O568" s="4"/>
    </row>
    <row r="569" spans="1:15" ht="15.75" x14ac:dyDescent="0.25">
      <c r="A569" s="211" t="s">
        <v>125</v>
      </c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4"/>
    </row>
    <row r="570" spans="1:15" ht="15.75" x14ac:dyDescent="0.25">
      <c r="A570" s="5" t="s">
        <v>46</v>
      </c>
      <c r="B570" s="208" t="s">
        <v>123</v>
      </c>
      <c r="C570" s="208"/>
      <c r="D570" s="208"/>
      <c r="E570" s="208"/>
      <c r="F570" s="208"/>
      <c r="G570" s="208"/>
      <c r="H570" s="208"/>
      <c r="I570" s="208"/>
      <c r="J570" s="208"/>
      <c r="K570" s="208"/>
      <c r="L570" s="208"/>
      <c r="M570" s="208"/>
      <c r="N570" s="208"/>
      <c r="O570" s="4"/>
    </row>
    <row r="571" spans="1:15" ht="15.75" x14ac:dyDescent="0.25">
      <c r="A571" s="5" t="s">
        <v>47</v>
      </c>
      <c r="B571" s="175" t="s">
        <v>105</v>
      </c>
      <c r="C571" s="175"/>
      <c r="D571" s="175"/>
      <c r="E571" s="175"/>
      <c r="F571" s="175"/>
      <c r="G571" s="175"/>
      <c r="H571" s="175"/>
      <c r="I571" s="175"/>
      <c r="J571" s="175"/>
      <c r="K571" s="175"/>
      <c r="L571" s="174" t="s">
        <v>74</v>
      </c>
      <c r="M571" s="174"/>
      <c r="N571" s="34">
        <v>15465.147387661505</v>
      </c>
      <c r="O571" s="4"/>
    </row>
    <row r="572" spans="1:15" x14ac:dyDescent="0.25">
      <c r="A572" s="6" t="s">
        <v>21</v>
      </c>
      <c r="B572" s="7" t="s">
        <v>92</v>
      </c>
      <c r="C572" s="6" t="s">
        <v>22</v>
      </c>
      <c r="D572" s="7">
        <v>2020</v>
      </c>
      <c r="E572" s="194" t="s">
        <v>20</v>
      </c>
      <c r="F572" s="194"/>
      <c r="G572" s="194"/>
      <c r="H572" s="195" t="s">
        <v>124</v>
      </c>
      <c r="I572" s="196"/>
      <c r="J572" s="196"/>
      <c r="K572" s="196"/>
      <c r="L572" s="196"/>
      <c r="M572" s="196"/>
      <c r="N572" s="197"/>
      <c r="O572" s="4"/>
    </row>
    <row r="573" spans="1:15" x14ac:dyDescent="0.25">
      <c r="A573" s="198" t="s">
        <v>48</v>
      </c>
      <c r="B573" s="199"/>
      <c r="C573" s="200"/>
      <c r="D573" s="204" t="s">
        <v>49</v>
      </c>
      <c r="E573" s="205"/>
      <c r="F573" s="205"/>
      <c r="G573" s="205"/>
      <c r="H573" s="206"/>
      <c r="I573" s="207" t="s">
        <v>50</v>
      </c>
      <c r="J573" s="207"/>
      <c r="K573" s="207"/>
      <c r="L573" s="207"/>
      <c r="M573" s="207"/>
      <c r="N573" s="207"/>
      <c r="O573" s="4"/>
    </row>
    <row r="574" spans="1:15" ht="30" x14ac:dyDescent="0.25">
      <c r="A574" s="201"/>
      <c r="B574" s="202"/>
      <c r="C574" s="203"/>
      <c r="D574" s="8" t="s">
        <v>51</v>
      </c>
      <c r="E574" s="8" t="s">
        <v>52</v>
      </c>
      <c r="F574" s="8" t="s">
        <v>53</v>
      </c>
      <c r="G574" s="8" t="s">
        <v>54</v>
      </c>
      <c r="H574" s="8" t="s">
        <v>55</v>
      </c>
      <c r="I574" s="33" t="s">
        <v>51</v>
      </c>
      <c r="J574" s="33" t="s">
        <v>52</v>
      </c>
      <c r="K574" s="33" t="s">
        <v>53</v>
      </c>
      <c r="L574" s="33" t="s">
        <v>54</v>
      </c>
      <c r="M574" s="201" t="s">
        <v>56</v>
      </c>
      <c r="N574" s="203"/>
      <c r="O574" s="4"/>
    </row>
    <row r="575" spans="1:15" x14ac:dyDescent="0.25">
      <c r="A575" s="181" t="s">
        <v>2</v>
      </c>
      <c r="B575" s="182"/>
      <c r="C575" s="183"/>
      <c r="D575" s="9" t="s">
        <v>57</v>
      </c>
      <c r="E575" s="9" t="s">
        <v>57</v>
      </c>
      <c r="F575" s="9" t="s">
        <v>57</v>
      </c>
      <c r="G575" s="9" t="s">
        <v>57</v>
      </c>
      <c r="H575" s="9"/>
      <c r="I575" s="15">
        <v>0</v>
      </c>
      <c r="J575" s="15">
        <v>0</v>
      </c>
      <c r="K575" s="15">
        <v>0</v>
      </c>
      <c r="L575" s="15">
        <v>0</v>
      </c>
      <c r="M575" s="190">
        <f>I575+J575+K575+L575</f>
        <v>0</v>
      </c>
      <c r="N575" s="191"/>
      <c r="O575" s="4"/>
    </row>
    <row r="576" spans="1:15" x14ac:dyDescent="0.25">
      <c r="A576" s="181" t="s">
        <v>3</v>
      </c>
      <c r="B576" s="182"/>
      <c r="C576" s="183"/>
      <c r="D576" s="9" t="s">
        <v>57</v>
      </c>
      <c r="E576" s="9" t="s">
        <v>57</v>
      </c>
      <c r="F576" s="9" t="s">
        <v>57</v>
      </c>
      <c r="G576" s="9" t="s">
        <v>57</v>
      </c>
      <c r="H576" s="9"/>
      <c r="I576" s="15">
        <v>0</v>
      </c>
      <c r="J576" s="15">
        <v>0</v>
      </c>
      <c r="K576" s="15">
        <v>0</v>
      </c>
      <c r="L576" s="15">
        <v>0</v>
      </c>
      <c r="M576" s="192">
        <f t="shared" ref="M576:M583" si="24">I576+J576+K576+L576</f>
        <v>0</v>
      </c>
      <c r="N576" s="193"/>
      <c r="O576" s="4"/>
    </row>
    <row r="577" spans="1:15" x14ac:dyDescent="0.25">
      <c r="A577" s="181" t="s">
        <v>4</v>
      </c>
      <c r="B577" s="182"/>
      <c r="C577" s="183"/>
      <c r="D577" s="9" t="s">
        <v>57</v>
      </c>
      <c r="E577" s="9" t="s">
        <v>57</v>
      </c>
      <c r="F577" s="9" t="s">
        <v>57</v>
      </c>
      <c r="G577" s="9" t="s">
        <v>57</v>
      </c>
      <c r="H577" s="9"/>
      <c r="I577" s="15">
        <v>0</v>
      </c>
      <c r="J577" s="15">
        <v>0</v>
      </c>
      <c r="K577" s="15">
        <v>0</v>
      </c>
      <c r="L577" s="15">
        <v>0</v>
      </c>
      <c r="M577" s="192">
        <f t="shared" si="24"/>
        <v>0</v>
      </c>
      <c r="N577" s="193"/>
      <c r="O577" s="4"/>
    </row>
    <row r="578" spans="1:15" x14ac:dyDescent="0.25">
      <c r="A578" s="181" t="s">
        <v>5</v>
      </c>
      <c r="B578" s="182"/>
      <c r="C578" s="183"/>
      <c r="D578" s="9" t="s">
        <v>57</v>
      </c>
      <c r="E578" s="9" t="s">
        <v>57</v>
      </c>
      <c r="F578" s="9" t="s">
        <v>57</v>
      </c>
      <c r="G578" s="9" t="s">
        <v>57</v>
      </c>
      <c r="H578" s="9"/>
      <c r="I578" s="15">
        <v>0</v>
      </c>
      <c r="J578" s="15">
        <v>0</v>
      </c>
      <c r="K578" s="15">
        <v>0</v>
      </c>
      <c r="L578" s="15">
        <v>0</v>
      </c>
      <c r="M578" s="192">
        <f t="shared" si="24"/>
        <v>0</v>
      </c>
      <c r="N578" s="193"/>
      <c r="O578" s="4"/>
    </row>
    <row r="579" spans="1:15" x14ac:dyDescent="0.25">
      <c r="A579" s="181" t="s">
        <v>6</v>
      </c>
      <c r="B579" s="182"/>
      <c r="C579" s="183"/>
      <c r="D579" s="9" t="s">
        <v>57</v>
      </c>
      <c r="E579" s="9" t="s">
        <v>57</v>
      </c>
      <c r="F579" s="9" t="s">
        <v>57</v>
      </c>
      <c r="G579" s="9" t="s">
        <v>57</v>
      </c>
      <c r="H579" s="9"/>
      <c r="I579" s="15">
        <v>0</v>
      </c>
      <c r="J579" s="15">
        <v>0</v>
      </c>
      <c r="K579" s="15">
        <v>0</v>
      </c>
      <c r="L579" s="15">
        <v>0</v>
      </c>
      <c r="M579" s="192">
        <f t="shared" si="24"/>
        <v>0</v>
      </c>
      <c r="N579" s="193"/>
      <c r="O579" s="4"/>
    </row>
    <row r="580" spans="1:15" x14ac:dyDescent="0.25">
      <c r="A580" s="181" t="s">
        <v>8</v>
      </c>
      <c r="B580" s="182"/>
      <c r="C580" s="183"/>
      <c r="D580" s="9" t="s">
        <v>57</v>
      </c>
      <c r="E580" s="9" t="s">
        <v>57</v>
      </c>
      <c r="F580" s="9" t="s">
        <v>57</v>
      </c>
      <c r="G580" s="9" t="s">
        <v>57</v>
      </c>
      <c r="H580" s="9"/>
      <c r="I580" s="15">
        <v>0</v>
      </c>
      <c r="J580" s="15">
        <v>0</v>
      </c>
      <c r="K580" s="15">
        <v>0</v>
      </c>
      <c r="L580" s="15">
        <v>0</v>
      </c>
      <c r="M580" s="192">
        <f t="shared" si="24"/>
        <v>0</v>
      </c>
      <c r="N580" s="193"/>
      <c r="O580" s="4"/>
    </row>
    <row r="581" spans="1:15" x14ac:dyDescent="0.25">
      <c r="A581" s="181" t="s">
        <v>38</v>
      </c>
      <c r="B581" s="182"/>
      <c r="C581" s="183"/>
      <c r="D581" s="9" t="s">
        <v>57</v>
      </c>
      <c r="E581" s="9" t="s">
        <v>57</v>
      </c>
      <c r="F581" s="9" t="s">
        <v>57</v>
      </c>
      <c r="G581" s="9" t="s">
        <v>57</v>
      </c>
      <c r="H581" s="9"/>
      <c r="I581" s="15">
        <v>0</v>
      </c>
      <c r="J581" s="15">
        <v>0</v>
      </c>
      <c r="K581" s="15">
        <v>0</v>
      </c>
      <c r="L581" s="15">
        <v>0</v>
      </c>
      <c r="M581" s="192">
        <f t="shared" si="24"/>
        <v>0</v>
      </c>
      <c r="N581" s="193"/>
      <c r="O581" s="4"/>
    </row>
    <row r="582" spans="1:15" x14ac:dyDescent="0.25">
      <c r="A582" s="181" t="s">
        <v>7</v>
      </c>
      <c r="B582" s="182"/>
      <c r="C582" s="183"/>
      <c r="D582" s="9" t="s">
        <v>57</v>
      </c>
      <c r="E582" s="9" t="s">
        <v>57</v>
      </c>
      <c r="F582" s="9" t="s">
        <v>57</v>
      </c>
      <c r="G582" s="9" t="s">
        <v>57</v>
      </c>
      <c r="H582" s="9"/>
      <c r="I582" s="15">
        <v>0</v>
      </c>
      <c r="J582" s="15">
        <v>0</v>
      </c>
      <c r="K582" s="15">
        <v>0</v>
      </c>
      <c r="L582" s="15">
        <v>0</v>
      </c>
      <c r="M582" s="192">
        <f t="shared" si="24"/>
        <v>0</v>
      </c>
      <c r="N582" s="193"/>
      <c r="O582" s="4"/>
    </row>
    <row r="583" spans="1:15" x14ac:dyDescent="0.25">
      <c r="A583" s="181" t="s">
        <v>90</v>
      </c>
      <c r="B583" s="182"/>
      <c r="C583" s="183"/>
      <c r="D583" s="9" t="s">
        <v>57</v>
      </c>
      <c r="E583" s="9" t="s">
        <v>57</v>
      </c>
      <c r="F583" s="9" t="s">
        <v>57</v>
      </c>
      <c r="G583" s="9" t="s">
        <v>57</v>
      </c>
      <c r="H583" s="9"/>
      <c r="I583" s="15">
        <v>0</v>
      </c>
      <c r="J583" s="15">
        <v>0</v>
      </c>
      <c r="K583" s="15">
        <v>0</v>
      </c>
      <c r="L583" s="15">
        <v>0</v>
      </c>
      <c r="M583" s="188">
        <f t="shared" si="24"/>
        <v>0</v>
      </c>
      <c r="N583" s="189"/>
      <c r="O583" s="4"/>
    </row>
    <row r="584" spans="1:15" x14ac:dyDescent="0.25">
      <c r="O584" s="4"/>
    </row>
    <row r="585" spans="1:15" ht="15.75" x14ac:dyDescent="0.25">
      <c r="A585" s="177" t="s">
        <v>58</v>
      </c>
      <c r="B585" s="177"/>
      <c r="C585" s="177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4"/>
    </row>
    <row r="586" spans="1:15" x14ac:dyDescent="0.25">
      <c r="A586" s="178"/>
      <c r="B586" s="179"/>
      <c r="C586" s="179"/>
      <c r="D586" s="179"/>
      <c r="E586" s="179"/>
      <c r="F586" s="179"/>
      <c r="G586" s="179"/>
      <c r="H586" s="179"/>
      <c r="I586" s="179"/>
      <c r="J586" s="179"/>
      <c r="K586" s="179"/>
      <c r="L586" s="179"/>
      <c r="M586" s="179"/>
      <c r="N586" s="180"/>
      <c r="O586" s="10">
        <f>A586</f>
        <v>0</v>
      </c>
    </row>
    <row r="587" spans="1:15" x14ac:dyDescent="0.25">
      <c r="A587" s="174" t="s">
        <v>59</v>
      </c>
      <c r="B587" s="174"/>
      <c r="C587" s="174"/>
      <c r="D587" s="174"/>
      <c r="E587" s="174"/>
      <c r="F587" s="174"/>
      <c r="G587" s="174"/>
      <c r="H587" s="174"/>
      <c r="I587" s="174"/>
      <c r="J587" s="174"/>
      <c r="K587" s="174"/>
      <c r="L587" s="174"/>
      <c r="M587" s="174"/>
      <c r="N587" s="174"/>
      <c r="O587" s="10"/>
    </row>
    <row r="588" spans="1:15" x14ac:dyDescent="0.25">
      <c r="A588" s="178"/>
      <c r="B588" s="179"/>
      <c r="C588" s="179"/>
      <c r="D588" s="179"/>
      <c r="E588" s="179"/>
      <c r="F588" s="179"/>
      <c r="G588" s="179"/>
      <c r="H588" s="179"/>
      <c r="I588" s="179"/>
      <c r="J588" s="179"/>
      <c r="K588" s="179"/>
      <c r="L588" s="179"/>
      <c r="M588" s="179"/>
      <c r="N588" s="180"/>
      <c r="O588" s="10">
        <f t="shared" ref="O588:O609" si="25">A588</f>
        <v>0</v>
      </c>
    </row>
    <row r="589" spans="1:15" x14ac:dyDescent="0.25">
      <c r="A589" s="176" t="s">
        <v>60</v>
      </c>
      <c r="B589" s="176"/>
      <c r="C589" s="176"/>
      <c r="D589" s="176"/>
      <c r="E589" s="176"/>
      <c r="F589" s="176"/>
      <c r="G589" s="176"/>
      <c r="H589" s="176"/>
      <c r="I589" s="176"/>
      <c r="J589" s="176"/>
      <c r="K589" s="176"/>
      <c r="L589" s="176"/>
      <c r="M589" s="176" t="s">
        <v>61</v>
      </c>
      <c r="N589" s="176"/>
      <c r="O589" s="10"/>
    </row>
    <row r="590" spans="1:15" x14ac:dyDescent="0.25">
      <c r="A590" s="176" t="s">
        <v>62</v>
      </c>
      <c r="B590" s="176"/>
      <c r="C590" s="176"/>
      <c r="D590" s="176"/>
      <c r="E590" s="176"/>
      <c r="F590" s="176"/>
      <c r="G590" s="176"/>
      <c r="H590" s="176"/>
      <c r="I590" s="176"/>
      <c r="J590" s="176"/>
      <c r="K590" s="176"/>
      <c r="L590" s="176"/>
      <c r="M590" s="176" t="s">
        <v>61</v>
      </c>
      <c r="N590" s="176"/>
      <c r="O590" s="10"/>
    </row>
    <row r="591" spans="1:15" x14ac:dyDescent="0.25">
      <c r="O591" s="10"/>
    </row>
    <row r="592" spans="1:15" ht="15.75" x14ac:dyDescent="0.25">
      <c r="A592" s="184" t="s">
        <v>63</v>
      </c>
      <c r="B592" s="185"/>
      <c r="C592" s="185"/>
      <c r="D592" s="185"/>
      <c r="E592" s="185"/>
      <c r="F592" s="185"/>
      <c r="G592" s="185"/>
      <c r="H592" s="185"/>
      <c r="I592" s="185"/>
      <c r="J592" s="185"/>
      <c r="K592" s="185"/>
      <c r="L592" s="185"/>
      <c r="M592" s="185"/>
      <c r="N592" s="186"/>
      <c r="O592" s="10"/>
    </row>
    <row r="593" spans="1:15" x14ac:dyDescent="0.25">
      <c r="A593" s="178"/>
      <c r="B593" s="179"/>
      <c r="C593" s="179"/>
      <c r="D593" s="179"/>
      <c r="E593" s="179"/>
      <c r="F593" s="179"/>
      <c r="G593" s="179"/>
      <c r="H593" s="179"/>
      <c r="I593" s="179"/>
      <c r="J593" s="179"/>
      <c r="K593" s="179"/>
      <c r="L593" s="179"/>
      <c r="M593" s="179"/>
      <c r="N593" s="179"/>
      <c r="O593" s="10">
        <f t="shared" si="25"/>
        <v>0</v>
      </c>
    </row>
    <row r="594" spans="1:15" x14ac:dyDescent="0.25">
      <c r="A594" s="174" t="s">
        <v>64</v>
      </c>
      <c r="B594" s="174"/>
      <c r="C594" s="174"/>
      <c r="D594" s="174"/>
      <c r="E594" s="174"/>
      <c r="F594" s="174"/>
      <c r="G594" s="174"/>
      <c r="H594" s="174"/>
      <c r="I594" s="174"/>
      <c r="J594" s="174"/>
      <c r="K594" s="174"/>
      <c r="L594" s="174"/>
      <c r="M594" s="174"/>
      <c r="N594" s="174"/>
      <c r="O594" s="10"/>
    </row>
    <row r="595" spans="1:15" x14ac:dyDescent="0.25">
      <c r="A595" s="178"/>
      <c r="B595" s="179"/>
      <c r="C595" s="179"/>
      <c r="D595" s="179"/>
      <c r="E595" s="179"/>
      <c r="F595" s="179"/>
      <c r="G595" s="179"/>
      <c r="H595" s="179"/>
      <c r="I595" s="179"/>
      <c r="J595" s="179"/>
      <c r="K595" s="179"/>
      <c r="L595" s="179"/>
      <c r="M595" s="179"/>
      <c r="N595" s="180"/>
      <c r="O595" s="10">
        <f t="shared" si="25"/>
        <v>0</v>
      </c>
    </row>
    <row r="596" spans="1:15" x14ac:dyDescent="0.25">
      <c r="A596" s="176" t="s">
        <v>60</v>
      </c>
      <c r="B596" s="176"/>
      <c r="C596" s="176"/>
      <c r="D596" s="176"/>
      <c r="E596" s="176"/>
      <c r="F596" s="176"/>
      <c r="G596" s="176"/>
      <c r="H596" s="176"/>
      <c r="I596" s="176"/>
      <c r="J596" s="176"/>
      <c r="K596" s="176"/>
      <c r="L596" s="176"/>
      <c r="M596" s="176" t="s">
        <v>61</v>
      </c>
      <c r="N596" s="176"/>
      <c r="O596" s="10"/>
    </row>
    <row r="597" spans="1:15" x14ac:dyDescent="0.25">
      <c r="A597" s="176" t="s">
        <v>62</v>
      </c>
      <c r="B597" s="176"/>
      <c r="C597" s="176"/>
      <c r="D597" s="176"/>
      <c r="E597" s="176"/>
      <c r="F597" s="176"/>
      <c r="G597" s="176"/>
      <c r="H597" s="176"/>
      <c r="I597" s="176"/>
      <c r="J597" s="176"/>
      <c r="K597" s="176"/>
      <c r="L597" s="176"/>
      <c r="M597" s="176" t="s">
        <v>61</v>
      </c>
      <c r="N597" s="176"/>
      <c r="O597" s="10"/>
    </row>
    <row r="598" spans="1:15" x14ac:dyDescent="0.25">
      <c r="O598" s="10"/>
    </row>
    <row r="599" spans="1:15" ht="15.75" x14ac:dyDescent="0.25">
      <c r="A599" s="177" t="s">
        <v>65</v>
      </c>
      <c r="B599" s="177"/>
      <c r="C599" s="177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0"/>
    </row>
    <row r="600" spans="1:15" x14ac:dyDescent="0.25">
      <c r="A600" s="178"/>
      <c r="B600" s="179"/>
      <c r="C600" s="179"/>
      <c r="D600" s="179"/>
      <c r="E600" s="179"/>
      <c r="F600" s="179"/>
      <c r="G600" s="179"/>
      <c r="H600" s="179"/>
      <c r="I600" s="179"/>
      <c r="J600" s="179"/>
      <c r="K600" s="179"/>
      <c r="L600" s="179"/>
      <c r="M600" s="179"/>
      <c r="N600" s="180"/>
      <c r="O600" s="10">
        <f t="shared" si="25"/>
        <v>0</v>
      </c>
    </row>
    <row r="601" spans="1:15" x14ac:dyDescent="0.25">
      <c r="A601" s="174" t="s">
        <v>66</v>
      </c>
      <c r="B601" s="174"/>
      <c r="C601" s="174"/>
      <c r="D601" s="174"/>
      <c r="E601" s="174"/>
      <c r="F601" s="174"/>
      <c r="G601" s="174"/>
      <c r="H601" s="174"/>
      <c r="I601" s="174"/>
      <c r="J601" s="174"/>
      <c r="K601" s="174"/>
      <c r="L601" s="174"/>
      <c r="M601" s="174"/>
      <c r="N601" s="174"/>
      <c r="O601" s="10"/>
    </row>
    <row r="602" spans="1:15" x14ac:dyDescent="0.25">
      <c r="A602" s="178"/>
      <c r="B602" s="179"/>
      <c r="C602" s="179"/>
      <c r="D602" s="179"/>
      <c r="E602" s="179"/>
      <c r="F602" s="179"/>
      <c r="G602" s="179"/>
      <c r="H602" s="179"/>
      <c r="I602" s="179"/>
      <c r="J602" s="179"/>
      <c r="K602" s="179"/>
      <c r="L602" s="179"/>
      <c r="M602" s="179"/>
      <c r="N602" s="180"/>
      <c r="O602" s="10">
        <f t="shared" si="25"/>
        <v>0</v>
      </c>
    </row>
    <row r="603" spans="1:15" x14ac:dyDescent="0.25">
      <c r="A603" s="187" t="s">
        <v>60</v>
      </c>
      <c r="B603" s="187"/>
      <c r="C603" s="187"/>
      <c r="D603" s="187"/>
      <c r="E603" s="187"/>
      <c r="F603" s="187"/>
      <c r="G603" s="187"/>
      <c r="H603" s="187"/>
      <c r="I603" s="187"/>
      <c r="J603" s="187"/>
      <c r="K603" s="187"/>
      <c r="L603" s="187"/>
      <c r="M603" s="176" t="s">
        <v>61</v>
      </c>
      <c r="N603" s="176"/>
      <c r="O603" s="10"/>
    </row>
    <row r="604" spans="1:15" x14ac:dyDescent="0.25">
      <c r="A604" s="187" t="s">
        <v>62</v>
      </c>
      <c r="B604" s="187"/>
      <c r="C604" s="187"/>
      <c r="D604" s="187"/>
      <c r="E604" s="187"/>
      <c r="F604" s="187"/>
      <c r="G604" s="187"/>
      <c r="H604" s="187"/>
      <c r="I604" s="187"/>
      <c r="J604" s="187"/>
      <c r="K604" s="187"/>
      <c r="L604" s="187"/>
      <c r="M604" s="176" t="s">
        <v>61</v>
      </c>
      <c r="N604" s="176"/>
      <c r="O604" s="10"/>
    </row>
    <row r="605" spans="1:15" x14ac:dyDescent="0.25">
      <c r="O605" s="10"/>
    </row>
    <row r="606" spans="1:15" ht="15.75" x14ac:dyDescent="0.25">
      <c r="A606" s="184" t="s">
        <v>67</v>
      </c>
      <c r="B606" s="185"/>
      <c r="C606" s="185"/>
      <c r="D606" s="185"/>
      <c r="E606" s="185"/>
      <c r="F606" s="185"/>
      <c r="G606" s="185"/>
      <c r="H606" s="185"/>
      <c r="I606" s="185"/>
      <c r="J606" s="185"/>
      <c r="K606" s="185"/>
      <c r="L606" s="185"/>
      <c r="M606" s="185"/>
      <c r="N606" s="186"/>
      <c r="O606" s="10"/>
    </row>
    <row r="607" spans="1:15" x14ac:dyDescent="0.25">
      <c r="A607" s="178"/>
      <c r="B607" s="179"/>
      <c r="C607" s="179"/>
      <c r="D607" s="179"/>
      <c r="E607" s="179"/>
      <c r="F607" s="179"/>
      <c r="G607" s="179"/>
      <c r="H607" s="179"/>
      <c r="I607" s="179"/>
      <c r="J607" s="179"/>
      <c r="K607" s="179"/>
      <c r="L607" s="179"/>
      <c r="M607" s="179"/>
      <c r="N607" s="180"/>
      <c r="O607" s="10">
        <f t="shared" si="25"/>
        <v>0</v>
      </c>
    </row>
    <row r="608" spans="1:15" x14ac:dyDescent="0.25">
      <c r="A608" s="174" t="s">
        <v>68</v>
      </c>
      <c r="B608" s="174"/>
      <c r="C608" s="174"/>
      <c r="D608" s="174"/>
      <c r="E608" s="174"/>
      <c r="F608" s="174"/>
      <c r="G608" s="174"/>
      <c r="H608" s="174"/>
      <c r="I608" s="174"/>
      <c r="J608" s="174"/>
      <c r="K608" s="174"/>
      <c r="L608" s="174"/>
      <c r="M608" s="174"/>
      <c r="N608" s="174"/>
      <c r="O608" s="10"/>
    </row>
    <row r="609" spans="1:15" x14ac:dyDescent="0.25">
      <c r="A609" s="178"/>
      <c r="B609" s="179"/>
      <c r="C609" s="179"/>
      <c r="D609" s="179"/>
      <c r="E609" s="179"/>
      <c r="F609" s="179"/>
      <c r="G609" s="179"/>
      <c r="H609" s="179"/>
      <c r="I609" s="179"/>
      <c r="J609" s="179"/>
      <c r="K609" s="179"/>
      <c r="L609" s="179"/>
      <c r="M609" s="179"/>
      <c r="N609" s="180"/>
      <c r="O609" s="10">
        <f t="shared" si="25"/>
        <v>0</v>
      </c>
    </row>
    <row r="610" spans="1:15" x14ac:dyDescent="0.25">
      <c r="A610" s="176" t="s">
        <v>60</v>
      </c>
      <c r="B610" s="176"/>
      <c r="C610" s="176"/>
      <c r="D610" s="176"/>
      <c r="E610" s="176"/>
      <c r="F610" s="176"/>
      <c r="G610" s="176"/>
      <c r="H610" s="176"/>
      <c r="I610" s="176"/>
      <c r="J610" s="176"/>
      <c r="K610" s="176"/>
      <c r="L610" s="176"/>
      <c r="M610" s="176" t="s">
        <v>61</v>
      </c>
      <c r="N610" s="176"/>
      <c r="O610" s="10"/>
    </row>
    <row r="611" spans="1:15" x14ac:dyDescent="0.25">
      <c r="A611" s="176" t="s">
        <v>62</v>
      </c>
      <c r="B611" s="176"/>
      <c r="C611" s="176"/>
      <c r="D611" s="176"/>
      <c r="E611" s="176"/>
      <c r="F611" s="176"/>
      <c r="G611" s="176"/>
      <c r="H611" s="176"/>
      <c r="I611" s="176"/>
      <c r="J611" s="176"/>
      <c r="K611" s="176"/>
      <c r="L611" s="176"/>
      <c r="M611" s="176" t="s">
        <v>61</v>
      </c>
      <c r="N611" s="176"/>
      <c r="O611" s="10"/>
    </row>
    <row r="612" spans="1:15" x14ac:dyDescent="0.25">
      <c r="A612" s="209" t="s">
        <v>91</v>
      </c>
      <c r="B612" s="209"/>
      <c r="C612" s="209"/>
      <c r="D612" s="209"/>
      <c r="E612" s="209"/>
      <c r="F612" s="209"/>
      <c r="G612" s="209"/>
      <c r="H612" s="209"/>
      <c r="I612" s="209"/>
      <c r="J612" s="209"/>
      <c r="K612" s="209"/>
      <c r="L612" s="209"/>
      <c r="M612" s="209"/>
      <c r="N612" s="209"/>
      <c r="O612" s="4"/>
    </row>
    <row r="613" spans="1:15" x14ac:dyDescent="0.25">
      <c r="A613" s="209" t="s">
        <v>89</v>
      </c>
      <c r="B613" s="209"/>
      <c r="C613" s="209"/>
      <c r="D613" s="209"/>
      <c r="E613" s="209"/>
      <c r="F613" s="209"/>
      <c r="G613" s="209"/>
      <c r="H613" s="209"/>
      <c r="I613" s="209"/>
      <c r="J613" s="209"/>
      <c r="K613" s="209"/>
      <c r="L613" s="209"/>
      <c r="M613" s="209"/>
      <c r="N613" s="209"/>
      <c r="O613" s="4"/>
    </row>
    <row r="614" spans="1:15" x14ac:dyDescent="0.25">
      <c r="A614" s="209" t="s">
        <v>44</v>
      </c>
      <c r="B614" s="209"/>
      <c r="C614" s="209"/>
      <c r="D614" s="209"/>
      <c r="E614" s="209"/>
      <c r="F614" s="209"/>
      <c r="G614" s="209"/>
      <c r="H614" s="209"/>
      <c r="I614" s="209"/>
      <c r="J614" s="209"/>
      <c r="K614" s="209"/>
      <c r="L614" s="209"/>
      <c r="M614" s="209"/>
      <c r="N614" s="209"/>
      <c r="O614" s="4"/>
    </row>
    <row r="615" spans="1:15" ht="15.75" x14ac:dyDescent="0.25">
      <c r="A615" s="210" t="s">
        <v>72</v>
      </c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0"/>
      <c r="M615" s="210"/>
      <c r="N615" s="210"/>
      <c r="O615" s="4"/>
    </row>
    <row r="616" spans="1:15" ht="15.75" x14ac:dyDescent="0.25">
      <c r="A616" s="211" t="s">
        <v>125</v>
      </c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211"/>
      <c r="N616" s="211"/>
      <c r="O616" s="4"/>
    </row>
    <row r="617" spans="1:15" ht="15.75" x14ac:dyDescent="0.25">
      <c r="A617" s="5" t="s">
        <v>46</v>
      </c>
      <c r="B617" s="208" t="s">
        <v>123</v>
      </c>
      <c r="C617" s="208"/>
      <c r="D617" s="208"/>
      <c r="E617" s="208"/>
      <c r="F617" s="208"/>
      <c r="G617" s="208"/>
      <c r="H617" s="208"/>
      <c r="I617" s="208"/>
      <c r="J617" s="208"/>
      <c r="K617" s="208"/>
      <c r="L617" s="208"/>
      <c r="M617" s="208"/>
      <c r="N617" s="208"/>
      <c r="O617" s="4"/>
    </row>
    <row r="618" spans="1:15" ht="15.75" x14ac:dyDescent="0.25">
      <c r="A618" s="5" t="s">
        <v>47</v>
      </c>
      <c r="B618" s="175" t="s">
        <v>106</v>
      </c>
      <c r="C618" s="175"/>
      <c r="D618" s="175"/>
      <c r="E618" s="175"/>
      <c r="F618" s="175"/>
      <c r="G618" s="175"/>
      <c r="H618" s="175"/>
      <c r="I618" s="175"/>
      <c r="J618" s="175"/>
      <c r="K618" s="175"/>
      <c r="L618" s="174" t="s">
        <v>74</v>
      </c>
      <c r="M618" s="174"/>
      <c r="N618" s="34">
        <v>7605.2879661677734</v>
      </c>
      <c r="O618" s="4"/>
    </row>
    <row r="619" spans="1:15" x14ac:dyDescent="0.25">
      <c r="A619" s="6" t="s">
        <v>21</v>
      </c>
      <c r="B619" s="7" t="s">
        <v>92</v>
      </c>
      <c r="C619" s="6" t="s">
        <v>22</v>
      </c>
      <c r="D619" s="7">
        <v>2020</v>
      </c>
      <c r="E619" s="194" t="s">
        <v>20</v>
      </c>
      <c r="F619" s="194"/>
      <c r="G619" s="194"/>
      <c r="H619" s="195" t="s">
        <v>124</v>
      </c>
      <c r="I619" s="196"/>
      <c r="J619" s="196"/>
      <c r="K619" s="196"/>
      <c r="L619" s="196"/>
      <c r="M619" s="196"/>
      <c r="N619" s="197"/>
      <c r="O619" s="4"/>
    </row>
    <row r="620" spans="1:15" x14ac:dyDescent="0.25">
      <c r="A620" s="198" t="s">
        <v>48</v>
      </c>
      <c r="B620" s="199"/>
      <c r="C620" s="200"/>
      <c r="D620" s="204" t="s">
        <v>49</v>
      </c>
      <c r="E620" s="205"/>
      <c r="F620" s="205"/>
      <c r="G620" s="205"/>
      <c r="H620" s="206"/>
      <c r="I620" s="207" t="s">
        <v>50</v>
      </c>
      <c r="J620" s="207"/>
      <c r="K620" s="207"/>
      <c r="L620" s="207"/>
      <c r="M620" s="207"/>
      <c r="N620" s="207"/>
      <c r="O620" s="4"/>
    </row>
    <row r="621" spans="1:15" ht="30" x14ac:dyDescent="0.25">
      <c r="A621" s="201"/>
      <c r="B621" s="202"/>
      <c r="C621" s="203"/>
      <c r="D621" s="8" t="s">
        <v>51</v>
      </c>
      <c r="E621" s="8" t="s">
        <v>52</v>
      </c>
      <c r="F621" s="8" t="s">
        <v>53</v>
      </c>
      <c r="G621" s="8" t="s">
        <v>54</v>
      </c>
      <c r="H621" s="8" t="s">
        <v>55</v>
      </c>
      <c r="I621" s="33" t="s">
        <v>51</v>
      </c>
      <c r="J621" s="33" t="s">
        <v>52</v>
      </c>
      <c r="K621" s="33" t="s">
        <v>53</v>
      </c>
      <c r="L621" s="33" t="s">
        <v>54</v>
      </c>
      <c r="M621" s="201" t="s">
        <v>56</v>
      </c>
      <c r="N621" s="203"/>
      <c r="O621" s="4"/>
    </row>
    <row r="622" spans="1:15" x14ac:dyDescent="0.25">
      <c r="A622" s="181" t="s">
        <v>2</v>
      </c>
      <c r="B622" s="182"/>
      <c r="C622" s="183"/>
      <c r="D622" s="9" t="s">
        <v>57</v>
      </c>
      <c r="E622" s="9" t="s">
        <v>57</v>
      </c>
      <c r="F622" s="9" t="s">
        <v>57</v>
      </c>
      <c r="G622" s="9" t="s">
        <v>57</v>
      </c>
      <c r="H622" s="9"/>
      <c r="I622" s="15">
        <v>0</v>
      </c>
      <c r="J622" s="15">
        <v>0</v>
      </c>
      <c r="K622" s="15">
        <v>0</v>
      </c>
      <c r="L622" s="15">
        <v>0</v>
      </c>
      <c r="M622" s="190">
        <f>I622+J622+K622+L622</f>
        <v>0</v>
      </c>
      <c r="N622" s="191"/>
      <c r="O622" s="4"/>
    </row>
    <row r="623" spans="1:15" x14ac:dyDescent="0.25">
      <c r="A623" s="181" t="s">
        <v>3</v>
      </c>
      <c r="B623" s="182"/>
      <c r="C623" s="183"/>
      <c r="D623" s="9" t="s">
        <v>57</v>
      </c>
      <c r="E623" s="9" t="s">
        <v>57</v>
      </c>
      <c r="F623" s="9" t="s">
        <v>57</v>
      </c>
      <c r="G623" s="9" t="s">
        <v>57</v>
      </c>
      <c r="H623" s="9"/>
      <c r="I623" s="15">
        <v>0</v>
      </c>
      <c r="J623" s="15">
        <v>0</v>
      </c>
      <c r="K623" s="15">
        <v>0</v>
      </c>
      <c r="L623" s="15">
        <v>0</v>
      </c>
      <c r="M623" s="192">
        <f t="shared" ref="M623:M630" si="26">I623+J623+K623+L623</f>
        <v>0</v>
      </c>
      <c r="N623" s="193"/>
      <c r="O623" s="4"/>
    </row>
    <row r="624" spans="1:15" x14ac:dyDescent="0.25">
      <c r="A624" s="181" t="s">
        <v>4</v>
      </c>
      <c r="B624" s="182"/>
      <c r="C624" s="183"/>
      <c r="D624" s="9" t="s">
        <v>57</v>
      </c>
      <c r="E624" s="9" t="s">
        <v>57</v>
      </c>
      <c r="F624" s="9" t="s">
        <v>57</v>
      </c>
      <c r="G624" s="9" t="s">
        <v>57</v>
      </c>
      <c r="H624" s="9"/>
      <c r="I624" s="15">
        <v>0</v>
      </c>
      <c r="J624" s="15">
        <v>0</v>
      </c>
      <c r="K624" s="15">
        <v>0</v>
      </c>
      <c r="L624" s="15">
        <v>0</v>
      </c>
      <c r="M624" s="192">
        <f t="shared" si="26"/>
        <v>0</v>
      </c>
      <c r="N624" s="193"/>
      <c r="O624" s="4"/>
    </row>
    <row r="625" spans="1:15" x14ac:dyDescent="0.25">
      <c r="A625" s="181" t="s">
        <v>5</v>
      </c>
      <c r="B625" s="182"/>
      <c r="C625" s="183"/>
      <c r="D625" s="9" t="s">
        <v>57</v>
      </c>
      <c r="E625" s="9" t="s">
        <v>57</v>
      </c>
      <c r="F625" s="9" t="s">
        <v>57</v>
      </c>
      <c r="G625" s="9" t="s">
        <v>57</v>
      </c>
      <c r="H625" s="9"/>
      <c r="I625" s="15">
        <v>0</v>
      </c>
      <c r="J625" s="15">
        <v>0</v>
      </c>
      <c r="K625" s="15">
        <v>0</v>
      </c>
      <c r="L625" s="15">
        <v>0</v>
      </c>
      <c r="M625" s="192">
        <f t="shared" si="26"/>
        <v>0</v>
      </c>
      <c r="N625" s="193"/>
      <c r="O625" s="4"/>
    </row>
    <row r="626" spans="1:15" x14ac:dyDescent="0.25">
      <c r="A626" s="181" t="s">
        <v>6</v>
      </c>
      <c r="B626" s="182"/>
      <c r="C626" s="183"/>
      <c r="D626" s="9" t="s">
        <v>57</v>
      </c>
      <c r="E626" s="9" t="s">
        <v>57</v>
      </c>
      <c r="F626" s="9" t="s">
        <v>57</v>
      </c>
      <c r="G626" s="9" t="s">
        <v>57</v>
      </c>
      <c r="H626" s="9"/>
      <c r="I626" s="15">
        <v>0</v>
      </c>
      <c r="J626" s="15">
        <v>0</v>
      </c>
      <c r="K626" s="15">
        <v>0</v>
      </c>
      <c r="L626" s="15">
        <v>0</v>
      </c>
      <c r="M626" s="192">
        <f t="shared" si="26"/>
        <v>0</v>
      </c>
      <c r="N626" s="193"/>
      <c r="O626" s="4"/>
    </row>
    <row r="627" spans="1:15" x14ac:dyDescent="0.25">
      <c r="A627" s="181" t="s">
        <v>8</v>
      </c>
      <c r="B627" s="182"/>
      <c r="C627" s="183"/>
      <c r="D627" s="9" t="s">
        <v>57</v>
      </c>
      <c r="E627" s="9" t="s">
        <v>57</v>
      </c>
      <c r="F627" s="9" t="s">
        <v>57</v>
      </c>
      <c r="G627" s="9" t="s">
        <v>57</v>
      </c>
      <c r="H627" s="9"/>
      <c r="I627" s="15">
        <v>0</v>
      </c>
      <c r="J627" s="15">
        <v>0</v>
      </c>
      <c r="K627" s="15">
        <v>0</v>
      </c>
      <c r="L627" s="15">
        <v>0</v>
      </c>
      <c r="M627" s="192">
        <f t="shared" si="26"/>
        <v>0</v>
      </c>
      <c r="N627" s="193"/>
      <c r="O627" s="4"/>
    </row>
    <row r="628" spans="1:15" x14ac:dyDescent="0.25">
      <c r="A628" s="181" t="s">
        <v>38</v>
      </c>
      <c r="B628" s="182"/>
      <c r="C628" s="183"/>
      <c r="D628" s="9" t="s">
        <v>57</v>
      </c>
      <c r="E628" s="9" t="s">
        <v>57</v>
      </c>
      <c r="F628" s="9" t="s">
        <v>57</v>
      </c>
      <c r="G628" s="9" t="s">
        <v>57</v>
      </c>
      <c r="H628" s="9"/>
      <c r="I628" s="15">
        <v>0</v>
      </c>
      <c r="J628" s="15">
        <v>0</v>
      </c>
      <c r="K628" s="15">
        <v>0</v>
      </c>
      <c r="L628" s="15">
        <v>0</v>
      </c>
      <c r="M628" s="192">
        <f t="shared" si="26"/>
        <v>0</v>
      </c>
      <c r="N628" s="193"/>
      <c r="O628" s="4"/>
    </row>
    <row r="629" spans="1:15" x14ac:dyDescent="0.25">
      <c r="A629" s="181" t="s">
        <v>7</v>
      </c>
      <c r="B629" s="182"/>
      <c r="C629" s="183"/>
      <c r="D629" s="9" t="s">
        <v>57</v>
      </c>
      <c r="E629" s="9" t="s">
        <v>57</v>
      </c>
      <c r="F629" s="9" t="s">
        <v>57</v>
      </c>
      <c r="G629" s="9" t="s">
        <v>57</v>
      </c>
      <c r="H629" s="9"/>
      <c r="I629" s="15">
        <v>0</v>
      </c>
      <c r="J629" s="15">
        <v>0</v>
      </c>
      <c r="K629" s="15">
        <v>0</v>
      </c>
      <c r="L629" s="15">
        <v>0</v>
      </c>
      <c r="M629" s="192">
        <f t="shared" si="26"/>
        <v>0</v>
      </c>
      <c r="N629" s="193"/>
      <c r="O629" s="4"/>
    </row>
    <row r="630" spans="1:15" x14ac:dyDescent="0.25">
      <c r="A630" s="181" t="s">
        <v>90</v>
      </c>
      <c r="B630" s="182"/>
      <c r="C630" s="183"/>
      <c r="D630" s="9" t="s">
        <v>57</v>
      </c>
      <c r="E630" s="9" t="s">
        <v>57</v>
      </c>
      <c r="F630" s="9" t="s">
        <v>57</v>
      </c>
      <c r="G630" s="9" t="s">
        <v>57</v>
      </c>
      <c r="H630" s="9"/>
      <c r="I630" s="15">
        <v>0</v>
      </c>
      <c r="J630" s="15">
        <v>0</v>
      </c>
      <c r="K630" s="15">
        <v>0</v>
      </c>
      <c r="L630" s="15">
        <v>0</v>
      </c>
      <c r="M630" s="188">
        <f t="shared" si="26"/>
        <v>0</v>
      </c>
      <c r="N630" s="189"/>
      <c r="O630" s="4"/>
    </row>
    <row r="631" spans="1:15" x14ac:dyDescent="0.25">
      <c r="O631" s="4"/>
    </row>
    <row r="632" spans="1:15" ht="15.75" x14ac:dyDescent="0.25">
      <c r="A632" s="177" t="s">
        <v>58</v>
      </c>
      <c r="B632" s="177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4"/>
    </row>
    <row r="633" spans="1:15" x14ac:dyDescent="0.25">
      <c r="A633" s="178"/>
      <c r="B633" s="179"/>
      <c r="C633" s="179"/>
      <c r="D633" s="179"/>
      <c r="E633" s="179"/>
      <c r="F633" s="179"/>
      <c r="G633" s="179"/>
      <c r="H633" s="179"/>
      <c r="I633" s="179"/>
      <c r="J633" s="179"/>
      <c r="K633" s="179"/>
      <c r="L633" s="179"/>
      <c r="M633" s="179"/>
      <c r="N633" s="180"/>
      <c r="O633" s="10">
        <f>A633</f>
        <v>0</v>
      </c>
    </row>
    <row r="634" spans="1:15" x14ac:dyDescent="0.25">
      <c r="A634" s="174" t="s">
        <v>59</v>
      </c>
      <c r="B634" s="174"/>
      <c r="C634" s="174"/>
      <c r="D634" s="174"/>
      <c r="E634" s="174"/>
      <c r="F634" s="174"/>
      <c r="G634" s="174"/>
      <c r="H634" s="174"/>
      <c r="I634" s="174"/>
      <c r="J634" s="174"/>
      <c r="K634" s="174"/>
      <c r="L634" s="174"/>
      <c r="M634" s="174"/>
      <c r="N634" s="174"/>
      <c r="O634" s="10"/>
    </row>
    <row r="635" spans="1:15" x14ac:dyDescent="0.25">
      <c r="A635" s="178"/>
      <c r="B635" s="179"/>
      <c r="C635" s="179"/>
      <c r="D635" s="179"/>
      <c r="E635" s="179"/>
      <c r="F635" s="179"/>
      <c r="G635" s="179"/>
      <c r="H635" s="179"/>
      <c r="I635" s="179"/>
      <c r="J635" s="179"/>
      <c r="K635" s="179"/>
      <c r="L635" s="179"/>
      <c r="M635" s="179"/>
      <c r="N635" s="180"/>
      <c r="O635" s="10">
        <f t="shared" ref="O635:O656" si="27">A635</f>
        <v>0</v>
      </c>
    </row>
    <row r="636" spans="1:15" x14ac:dyDescent="0.25">
      <c r="A636" s="176" t="s">
        <v>60</v>
      </c>
      <c r="B636" s="176"/>
      <c r="C636" s="176"/>
      <c r="D636" s="176"/>
      <c r="E636" s="176"/>
      <c r="F636" s="176"/>
      <c r="G636" s="176"/>
      <c r="H636" s="176"/>
      <c r="I636" s="176"/>
      <c r="J636" s="176"/>
      <c r="K636" s="176"/>
      <c r="L636" s="176"/>
      <c r="M636" s="176" t="s">
        <v>61</v>
      </c>
      <c r="N636" s="176"/>
      <c r="O636" s="10"/>
    </row>
    <row r="637" spans="1:15" x14ac:dyDescent="0.25">
      <c r="A637" s="176" t="s">
        <v>62</v>
      </c>
      <c r="B637" s="176"/>
      <c r="C637" s="176"/>
      <c r="D637" s="176"/>
      <c r="E637" s="176"/>
      <c r="F637" s="176"/>
      <c r="G637" s="176"/>
      <c r="H637" s="176"/>
      <c r="I637" s="176"/>
      <c r="J637" s="176"/>
      <c r="K637" s="176"/>
      <c r="L637" s="176"/>
      <c r="M637" s="176" t="s">
        <v>61</v>
      </c>
      <c r="N637" s="176"/>
      <c r="O637" s="10"/>
    </row>
    <row r="638" spans="1:15" x14ac:dyDescent="0.25">
      <c r="O638" s="10"/>
    </row>
    <row r="639" spans="1:15" ht="15.75" x14ac:dyDescent="0.25">
      <c r="A639" s="184" t="s">
        <v>63</v>
      </c>
      <c r="B639" s="185"/>
      <c r="C639" s="185"/>
      <c r="D639" s="185"/>
      <c r="E639" s="185"/>
      <c r="F639" s="185"/>
      <c r="G639" s="185"/>
      <c r="H639" s="185"/>
      <c r="I639" s="185"/>
      <c r="J639" s="185"/>
      <c r="K639" s="185"/>
      <c r="L639" s="185"/>
      <c r="M639" s="185"/>
      <c r="N639" s="186"/>
      <c r="O639" s="10"/>
    </row>
    <row r="640" spans="1:15" x14ac:dyDescent="0.25">
      <c r="A640" s="178"/>
      <c r="B640" s="179"/>
      <c r="C640" s="179"/>
      <c r="D640" s="179"/>
      <c r="E640" s="179"/>
      <c r="F640" s="179"/>
      <c r="G640" s="179"/>
      <c r="H640" s="179"/>
      <c r="I640" s="179"/>
      <c r="J640" s="179"/>
      <c r="K640" s="179"/>
      <c r="L640" s="179"/>
      <c r="M640" s="179"/>
      <c r="N640" s="179"/>
      <c r="O640" s="10">
        <f t="shared" si="27"/>
        <v>0</v>
      </c>
    </row>
    <row r="641" spans="1:15" x14ac:dyDescent="0.25">
      <c r="A641" s="174" t="s">
        <v>64</v>
      </c>
      <c r="B641" s="174"/>
      <c r="C641" s="174"/>
      <c r="D641" s="174"/>
      <c r="E641" s="174"/>
      <c r="F641" s="174"/>
      <c r="G641" s="174"/>
      <c r="H641" s="174"/>
      <c r="I641" s="174"/>
      <c r="J641" s="174"/>
      <c r="K641" s="174"/>
      <c r="L641" s="174"/>
      <c r="M641" s="174"/>
      <c r="N641" s="174"/>
      <c r="O641" s="10"/>
    </row>
    <row r="642" spans="1:15" x14ac:dyDescent="0.25">
      <c r="A642" s="178"/>
      <c r="B642" s="179"/>
      <c r="C642" s="179"/>
      <c r="D642" s="179"/>
      <c r="E642" s="179"/>
      <c r="F642" s="179"/>
      <c r="G642" s="179"/>
      <c r="H642" s="179"/>
      <c r="I642" s="179"/>
      <c r="J642" s="179"/>
      <c r="K642" s="179"/>
      <c r="L642" s="179"/>
      <c r="M642" s="179"/>
      <c r="N642" s="180"/>
      <c r="O642" s="10">
        <f t="shared" si="27"/>
        <v>0</v>
      </c>
    </row>
    <row r="643" spans="1:15" x14ac:dyDescent="0.25">
      <c r="A643" s="176" t="s">
        <v>60</v>
      </c>
      <c r="B643" s="176"/>
      <c r="C643" s="176"/>
      <c r="D643" s="176"/>
      <c r="E643" s="176"/>
      <c r="F643" s="176"/>
      <c r="G643" s="176"/>
      <c r="H643" s="176"/>
      <c r="I643" s="176"/>
      <c r="J643" s="176"/>
      <c r="K643" s="176"/>
      <c r="L643" s="176"/>
      <c r="M643" s="176" t="s">
        <v>61</v>
      </c>
      <c r="N643" s="176"/>
      <c r="O643" s="10"/>
    </row>
    <row r="644" spans="1:15" x14ac:dyDescent="0.25">
      <c r="A644" s="176" t="s">
        <v>62</v>
      </c>
      <c r="B644" s="176"/>
      <c r="C644" s="176"/>
      <c r="D644" s="176"/>
      <c r="E644" s="176"/>
      <c r="F644" s="176"/>
      <c r="G644" s="176"/>
      <c r="H644" s="176"/>
      <c r="I644" s="176"/>
      <c r="J644" s="176"/>
      <c r="K644" s="176"/>
      <c r="L644" s="176"/>
      <c r="M644" s="176" t="s">
        <v>61</v>
      </c>
      <c r="N644" s="176"/>
      <c r="O644" s="10"/>
    </row>
    <row r="645" spans="1:15" x14ac:dyDescent="0.25">
      <c r="O645" s="10"/>
    </row>
    <row r="646" spans="1:15" ht="15.75" x14ac:dyDescent="0.25">
      <c r="A646" s="177" t="s">
        <v>65</v>
      </c>
      <c r="B646" s="177"/>
      <c r="C646" s="177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0"/>
    </row>
    <row r="647" spans="1:15" x14ac:dyDescent="0.25">
      <c r="A647" s="178"/>
      <c r="B647" s="179"/>
      <c r="C647" s="179"/>
      <c r="D647" s="179"/>
      <c r="E647" s="179"/>
      <c r="F647" s="179"/>
      <c r="G647" s="179"/>
      <c r="H647" s="179"/>
      <c r="I647" s="179"/>
      <c r="J647" s="179"/>
      <c r="K647" s="179"/>
      <c r="L647" s="179"/>
      <c r="M647" s="179"/>
      <c r="N647" s="180"/>
      <c r="O647" s="10">
        <f t="shared" si="27"/>
        <v>0</v>
      </c>
    </row>
    <row r="648" spans="1:15" x14ac:dyDescent="0.25">
      <c r="A648" s="174" t="s">
        <v>66</v>
      </c>
      <c r="B648" s="174"/>
      <c r="C648" s="174"/>
      <c r="D648" s="174"/>
      <c r="E648" s="174"/>
      <c r="F648" s="174"/>
      <c r="G648" s="174"/>
      <c r="H648" s="174"/>
      <c r="I648" s="174"/>
      <c r="J648" s="174"/>
      <c r="K648" s="174"/>
      <c r="L648" s="174"/>
      <c r="M648" s="174"/>
      <c r="N648" s="174"/>
      <c r="O648" s="10"/>
    </row>
    <row r="649" spans="1:15" x14ac:dyDescent="0.25">
      <c r="A649" s="178"/>
      <c r="B649" s="179"/>
      <c r="C649" s="179"/>
      <c r="D649" s="179"/>
      <c r="E649" s="179"/>
      <c r="F649" s="179"/>
      <c r="G649" s="179"/>
      <c r="H649" s="179"/>
      <c r="I649" s="179"/>
      <c r="J649" s="179"/>
      <c r="K649" s="179"/>
      <c r="L649" s="179"/>
      <c r="M649" s="179"/>
      <c r="N649" s="180"/>
      <c r="O649" s="10">
        <f t="shared" si="27"/>
        <v>0</v>
      </c>
    </row>
    <row r="650" spans="1:15" x14ac:dyDescent="0.25">
      <c r="A650" s="187" t="s">
        <v>60</v>
      </c>
      <c r="B650" s="187"/>
      <c r="C650" s="187"/>
      <c r="D650" s="187"/>
      <c r="E650" s="187"/>
      <c r="F650" s="187"/>
      <c r="G650" s="187"/>
      <c r="H650" s="187"/>
      <c r="I650" s="187"/>
      <c r="J650" s="187"/>
      <c r="K650" s="187"/>
      <c r="L650" s="187"/>
      <c r="M650" s="176" t="s">
        <v>61</v>
      </c>
      <c r="N650" s="176"/>
      <c r="O650" s="10"/>
    </row>
    <row r="651" spans="1:15" x14ac:dyDescent="0.25">
      <c r="A651" s="187" t="s">
        <v>62</v>
      </c>
      <c r="B651" s="187"/>
      <c r="C651" s="187"/>
      <c r="D651" s="187"/>
      <c r="E651" s="187"/>
      <c r="F651" s="187"/>
      <c r="G651" s="187"/>
      <c r="H651" s="187"/>
      <c r="I651" s="187"/>
      <c r="J651" s="187"/>
      <c r="K651" s="187"/>
      <c r="L651" s="187"/>
      <c r="M651" s="176" t="s">
        <v>61</v>
      </c>
      <c r="N651" s="176"/>
      <c r="O651" s="10"/>
    </row>
    <row r="652" spans="1:15" x14ac:dyDescent="0.25">
      <c r="O652" s="10"/>
    </row>
    <row r="653" spans="1:15" ht="15.75" x14ac:dyDescent="0.25">
      <c r="A653" s="184" t="s">
        <v>67</v>
      </c>
      <c r="B653" s="185"/>
      <c r="C653" s="185"/>
      <c r="D653" s="185"/>
      <c r="E653" s="185"/>
      <c r="F653" s="185"/>
      <c r="G653" s="185"/>
      <c r="H653" s="185"/>
      <c r="I653" s="185"/>
      <c r="J653" s="185"/>
      <c r="K653" s="185"/>
      <c r="L653" s="185"/>
      <c r="M653" s="185"/>
      <c r="N653" s="186"/>
      <c r="O653" s="10"/>
    </row>
    <row r="654" spans="1:15" x14ac:dyDescent="0.25">
      <c r="A654" s="178"/>
      <c r="B654" s="179"/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80"/>
      <c r="O654" s="10">
        <f t="shared" si="27"/>
        <v>0</v>
      </c>
    </row>
    <row r="655" spans="1:15" x14ac:dyDescent="0.25">
      <c r="A655" s="174" t="s">
        <v>68</v>
      </c>
      <c r="B655" s="174"/>
      <c r="C655" s="174"/>
      <c r="D655" s="174"/>
      <c r="E655" s="174"/>
      <c r="F655" s="174"/>
      <c r="G655" s="174"/>
      <c r="H655" s="174"/>
      <c r="I655" s="174"/>
      <c r="J655" s="174"/>
      <c r="K655" s="174"/>
      <c r="L655" s="174"/>
      <c r="M655" s="174"/>
      <c r="N655" s="174"/>
      <c r="O655" s="10"/>
    </row>
    <row r="656" spans="1:15" x14ac:dyDescent="0.25">
      <c r="A656" s="178"/>
      <c r="B656" s="179"/>
      <c r="C656" s="179"/>
      <c r="D656" s="179"/>
      <c r="E656" s="179"/>
      <c r="F656" s="179"/>
      <c r="G656" s="179"/>
      <c r="H656" s="179"/>
      <c r="I656" s="179"/>
      <c r="J656" s="179"/>
      <c r="K656" s="179"/>
      <c r="L656" s="179"/>
      <c r="M656" s="179"/>
      <c r="N656" s="180"/>
      <c r="O656" s="10">
        <f t="shared" si="27"/>
        <v>0</v>
      </c>
    </row>
    <row r="657" spans="1:15" x14ac:dyDescent="0.25">
      <c r="A657" s="176" t="s">
        <v>60</v>
      </c>
      <c r="B657" s="176"/>
      <c r="C657" s="176"/>
      <c r="D657" s="176"/>
      <c r="E657" s="176"/>
      <c r="F657" s="176"/>
      <c r="G657" s="176"/>
      <c r="H657" s="176"/>
      <c r="I657" s="176"/>
      <c r="J657" s="176"/>
      <c r="K657" s="176"/>
      <c r="L657" s="176"/>
      <c r="M657" s="176" t="s">
        <v>61</v>
      </c>
      <c r="N657" s="176"/>
      <c r="O657" s="10"/>
    </row>
    <row r="658" spans="1:15" x14ac:dyDescent="0.25">
      <c r="A658" s="176" t="s">
        <v>62</v>
      </c>
      <c r="B658" s="176"/>
      <c r="C658" s="176"/>
      <c r="D658" s="176"/>
      <c r="E658" s="176"/>
      <c r="F658" s="176"/>
      <c r="G658" s="176"/>
      <c r="H658" s="176"/>
      <c r="I658" s="176"/>
      <c r="J658" s="176"/>
      <c r="K658" s="176"/>
      <c r="L658" s="176"/>
      <c r="M658" s="176" t="s">
        <v>61</v>
      </c>
      <c r="N658" s="176"/>
      <c r="O658" s="10"/>
    </row>
    <row r="659" spans="1:15" x14ac:dyDescent="0.25">
      <c r="A659" s="209" t="s">
        <v>91</v>
      </c>
      <c r="B659" s="209"/>
      <c r="C659" s="209"/>
      <c r="D659" s="209"/>
      <c r="E659" s="209"/>
      <c r="F659" s="209"/>
      <c r="G659" s="209"/>
      <c r="H659" s="209"/>
      <c r="I659" s="209"/>
      <c r="J659" s="209"/>
      <c r="K659" s="209"/>
      <c r="L659" s="209"/>
      <c r="M659" s="209"/>
      <c r="N659" s="209"/>
      <c r="O659" s="4"/>
    </row>
    <row r="660" spans="1:15" x14ac:dyDescent="0.25">
      <c r="A660" s="209" t="s">
        <v>89</v>
      </c>
      <c r="B660" s="209"/>
      <c r="C660" s="209"/>
      <c r="D660" s="209"/>
      <c r="E660" s="209"/>
      <c r="F660" s="209"/>
      <c r="G660" s="209"/>
      <c r="H660" s="209"/>
      <c r="I660" s="209"/>
      <c r="J660" s="209"/>
      <c r="K660" s="209"/>
      <c r="L660" s="209"/>
      <c r="M660" s="209"/>
      <c r="N660" s="209"/>
      <c r="O660" s="4"/>
    </row>
    <row r="661" spans="1:15" x14ac:dyDescent="0.25">
      <c r="A661" s="209" t="s">
        <v>44</v>
      </c>
      <c r="B661" s="209"/>
      <c r="C661" s="209"/>
      <c r="D661" s="209"/>
      <c r="E661" s="209"/>
      <c r="F661" s="209"/>
      <c r="G661" s="209"/>
      <c r="H661" s="209"/>
      <c r="I661" s="209"/>
      <c r="J661" s="209"/>
      <c r="K661" s="209"/>
      <c r="L661" s="209"/>
      <c r="M661" s="209"/>
      <c r="N661" s="209"/>
      <c r="O661" s="4"/>
    </row>
    <row r="662" spans="1:15" ht="15.75" x14ac:dyDescent="0.25">
      <c r="A662" s="210" t="s">
        <v>72</v>
      </c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0"/>
      <c r="M662" s="210"/>
      <c r="N662" s="210"/>
      <c r="O662" s="4"/>
    </row>
    <row r="663" spans="1:15" ht="15.75" x14ac:dyDescent="0.25">
      <c r="A663" s="211" t="s">
        <v>125</v>
      </c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211"/>
      <c r="N663" s="211"/>
      <c r="O663" s="4"/>
    </row>
    <row r="664" spans="1:15" ht="15.75" x14ac:dyDescent="0.25">
      <c r="A664" s="5" t="s">
        <v>46</v>
      </c>
      <c r="B664" s="208" t="s">
        <v>123</v>
      </c>
      <c r="C664" s="208"/>
      <c r="D664" s="208"/>
      <c r="E664" s="208"/>
      <c r="F664" s="208"/>
      <c r="G664" s="208"/>
      <c r="H664" s="208"/>
      <c r="I664" s="208"/>
      <c r="J664" s="208"/>
      <c r="K664" s="208"/>
      <c r="L664" s="208"/>
      <c r="M664" s="208"/>
      <c r="N664" s="208"/>
      <c r="O664" s="4"/>
    </row>
    <row r="665" spans="1:15" ht="15.75" x14ac:dyDescent="0.25">
      <c r="A665" s="5" t="s">
        <v>47</v>
      </c>
      <c r="B665" s="175" t="s">
        <v>107</v>
      </c>
      <c r="C665" s="175"/>
      <c r="D665" s="175"/>
      <c r="E665" s="175"/>
      <c r="F665" s="175"/>
      <c r="G665" s="175"/>
      <c r="H665" s="175"/>
      <c r="I665" s="175"/>
      <c r="J665" s="175"/>
      <c r="K665" s="175"/>
      <c r="L665" s="174" t="s">
        <v>74</v>
      </c>
      <c r="M665" s="174"/>
      <c r="N665" s="34">
        <v>14578.879115085509</v>
      </c>
      <c r="O665" s="4"/>
    </row>
    <row r="666" spans="1:15" x14ac:dyDescent="0.25">
      <c r="A666" s="6" t="s">
        <v>21</v>
      </c>
      <c r="B666" s="7" t="s">
        <v>92</v>
      </c>
      <c r="C666" s="6" t="s">
        <v>22</v>
      </c>
      <c r="D666" s="7">
        <v>2020</v>
      </c>
      <c r="E666" s="194" t="s">
        <v>20</v>
      </c>
      <c r="F666" s="194"/>
      <c r="G666" s="194"/>
      <c r="H666" s="195" t="s">
        <v>124</v>
      </c>
      <c r="I666" s="196"/>
      <c r="J666" s="196"/>
      <c r="K666" s="196"/>
      <c r="L666" s="196"/>
      <c r="M666" s="196"/>
      <c r="N666" s="197"/>
      <c r="O666" s="4"/>
    </row>
    <row r="667" spans="1:15" x14ac:dyDescent="0.25">
      <c r="A667" s="198" t="s">
        <v>48</v>
      </c>
      <c r="B667" s="199"/>
      <c r="C667" s="200"/>
      <c r="D667" s="204" t="s">
        <v>49</v>
      </c>
      <c r="E667" s="205"/>
      <c r="F667" s="205"/>
      <c r="G667" s="205"/>
      <c r="H667" s="206"/>
      <c r="I667" s="207" t="s">
        <v>50</v>
      </c>
      <c r="J667" s="207"/>
      <c r="K667" s="207"/>
      <c r="L667" s="207"/>
      <c r="M667" s="207"/>
      <c r="N667" s="207"/>
      <c r="O667" s="4"/>
    </row>
    <row r="668" spans="1:15" ht="30" x14ac:dyDescent="0.25">
      <c r="A668" s="201"/>
      <c r="B668" s="202"/>
      <c r="C668" s="203"/>
      <c r="D668" s="8" t="s">
        <v>51</v>
      </c>
      <c r="E668" s="8" t="s">
        <v>52</v>
      </c>
      <c r="F668" s="8" t="s">
        <v>53</v>
      </c>
      <c r="G668" s="8" t="s">
        <v>54</v>
      </c>
      <c r="H668" s="8" t="s">
        <v>55</v>
      </c>
      <c r="I668" s="33" t="s">
        <v>51</v>
      </c>
      <c r="J668" s="33" t="s">
        <v>52</v>
      </c>
      <c r="K668" s="33" t="s">
        <v>53</v>
      </c>
      <c r="L668" s="33" t="s">
        <v>54</v>
      </c>
      <c r="M668" s="201" t="s">
        <v>56</v>
      </c>
      <c r="N668" s="203"/>
      <c r="O668" s="4"/>
    </row>
    <row r="669" spans="1:15" x14ac:dyDescent="0.25">
      <c r="A669" s="181" t="s">
        <v>2</v>
      </c>
      <c r="B669" s="182"/>
      <c r="C669" s="183"/>
      <c r="D669" s="9" t="s">
        <v>57</v>
      </c>
      <c r="E669" s="9" t="s">
        <v>57</v>
      </c>
      <c r="F669" s="9" t="s">
        <v>57</v>
      </c>
      <c r="G669" s="9" t="s">
        <v>57</v>
      </c>
      <c r="H669" s="9"/>
      <c r="I669" s="15">
        <v>0</v>
      </c>
      <c r="J669" s="15">
        <v>0</v>
      </c>
      <c r="K669" s="15">
        <v>0</v>
      </c>
      <c r="L669" s="15">
        <v>0</v>
      </c>
      <c r="M669" s="190">
        <f>I669+J669+K669+L669</f>
        <v>0</v>
      </c>
      <c r="N669" s="191"/>
      <c r="O669" s="4"/>
    </row>
    <row r="670" spans="1:15" x14ac:dyDescent="0.25">
      <c r="A670" s="181" t="s">
        <v>3</v>
      </c>
      <c r="B670" s="182"/>
      <c r="C670" s="183"/>
      <c r="D670" s="9" t="s">
        <v>57</v>
      </c>
      <c r="E670" s="9" t="s">
        <v>57</v>
      </c>
      <c r="F670" s="9" t="s">
        <v>57</v>
      </c>
      <c r="G670" s="9" t="s">
        <v>57</v>
      </c>
      <c r="H670" s="9"/>
      <c r="I670" s="15">
        <v>0</v>
      </c>
      <c r="J670" s="15">
        <v>0</v>
      </c>
      <c r="K670" s="15">
        <v>0</v>
      </c>
      <c r="L670" s="15">
        <v>0</v>
      </c>
      <c r="M670" s="192">
        <f t="shared" ref="M670:M677" si="28">I670+J670+K670+L670</f>
        <v>0</v>
      </c>
      <c r="N670" s="193"/>
      <c r="O670" s="4"/>
    </row>
    <row r="671" spans="1:15" x14ac:dyDescent="0.25">
      <c r="A671" s="181" t="s">
        <v>4</v>
      </c>
      <c r="B671" s="182"/>
      <c r="C671" s="183"/>
      <c r="D671" s="9" t="s">
        <v>57</v>
      </c>
      <c r="E671" s="9" t="s">
        <v>57</v>
      </c>
      <c r="F671" s="9" t="s">
        <v>57</v>
      </c>
      <c r="G671" s="9" t="s">
        <v>57</v>
      </c>
      <c r="H671" s="9"/>
      <c r="I671" s="15">
        <v>0</v>
      </c>
      <c r="J671" s="15">
        <v>0</v>
      </c>
      <c r="K671" s="15">
        <v>0</v>
      </c>
      <c r="L671" s="15">
        <v>0</v>
      </c>
      <c r="M671" s="192">
        <f t="shared" si="28"/>
        <v>0</v>
      </c>
      <c r="N671" s="193"/>
      <c r="O671" s="4"/>
    </row>
    <row r="672" spans="1:15" x14ac:dyDescent="0.25">
      <c r="A672" s="181" t="s">
        <v>5</v>
      </c>
      <c r="B672" s="182"/>
      <c r="C672" s="183"/>
      <c r="D672" s="9" t="s">
        <v>57</v>
      </c>
      <c r="E672" s="9" t="s">
        <v>57</v>
      </c>
      <c r="F672" s="9" t="s">
        <v>57</v>
      </c>
      <c r="G672" s="9" t="s">
        <v>57</v>
      </c>
      <c r="H672" s="9"/>
      <c r="I672" s="15">
        <v>0</v>
      </c>
      <c r="J672" s="15">
        <v>0</v>
      </c>
      <c r="K672" s="15">
        <v>0</v>
      </c>
      <c r="L672" s="15">
        <v>0</v>
      </c>
      <c r="M672" s="192">
        <f t="shared" si="28"/>
        <v>0</v>
      </c>
      <c r="N672" s="193"/>
      <c r="O672" s="4"/>
    </row>
    <row r="673" spans="1:15" x14ac:dyDescent="0.25">
      <c r="A673" s="181" t="s">
        <v>6</v>
      </c>
      <c r="B673" s="182"/>
      <c r="C673" s="183"/>
      <c r="D673" s="9" t="s">
        <v>57</v>
      </c>
      <c r="E673" s="9" t="s">
        <v>57</v>
      </c>
      <c r="F673" s="9" t="s">
        <v>57</v>
      </c>
      <c r="G673" s="9" t="s">
        <v>57</v>
      </c>
      <c r="H673" s="9"/>
      <c r="I673" s="15">
        <v>0</v>
      </c>
      <c r="J673" s="15">
        <v>0</v>
      </c>
      <c r="K673" s="15">
        <v>0</v>
      </c>
      <c r="L673" s="15">
        <v>0</v>
      </c>
      <c r="M673" s="192">
        <f t="shared" si="28"/>
        <v>0</v>
      </c>
      <c r="N673" s="193"/>
      <c r="O673" s="4"/>
    </row>
    <row r="674" spans="1:15" x14ac:dyDescent="0.25">
      <c r="A674" s="181" t="s">
        <v>8</v>
      </c>
      <c r="B674" s="182"/>
      <c r="C674" s="183"/>
      <c r="D674" s="9" t="s">
        <v>57</v>
      </c>
      <c r="E674" s="9" t="s">
        <v>57</v>
      </c>
      <c r="F674" s="9" t="s">
        <v>57</v>
      </c>
      <c r="G674" s="9" t="s">
        <v>57</v>
      </c>
      <c r="H674" s="9"/>
      <c r="I674" s="15">
        <v>0</v>
      </c>
      <c r="J674" s="15">
        <v>0</v>
      </c>
      <c r="K674" s="15">
        <v>0</v>
      </c>
      <c r="L674" s="15">
        <v>0</v>
      </c>
      <c r="M674" s="192">
        <f t="shared" si="28"/>
        <v>0</v>
      </c>
      <c r="N674" s="193"/>
      <c r="O674" s="4"/>
    </row>
    <row r="675" spans="1:15" x14ac:dyDescent="0.25">
      <c r="A675" s="181" t="s">
        <v>38</v>
      </c>
      <c r="B675" s="182"/>
      <c r="C675" s="183"/>
      <c r="D675" s="9" t="s">
        <v>57</v>
      </c>
      <c r="E675" s="9" t="s">
        <v>57</v>
      </c>
      <c r="F675" s="9" t="s">
        <v>57</v>
      </c>
      <c r="G675" s="9" t="s">
        <v>57</v>
      </c>
      <c r="H675" s="9"/>
      <c r="I675" s="15">
        <v>0</v>
      </c>
      <c r="J675" s="15">
        <v>0</v>
      </c>
      <c r="K675" s="15">
        <v>0</v>
      </c>
      <c r="L675" s="15">
        <v>0</v>
      </c>
      <c r="M675" s="192">
        <f t="shared" si="28"/>
        <v>0</v>
      </c>
      <c r="N675" s="193"/>
      <c r="O675" s="4"/>
    </row>
    <row r="676" spans="1:15" x14ac:dyDescent="0.25">
      <c r="A676" s="181" t="s">
        <v>7</v>
      </c>
      <c r="B676" s="182"/>
      <c r="C676" s="183"/>
      <c r="D676" s="9" t="s">
        <v>57</v>
      </c>
      <c r="E676" s="9" t="s">
        <v>57</v>
      </c>
      <c r="F676" s="9" t="s">
        <v>57</v>
      </c>
      <c r="G676" s="9" t="s">
        <v>57</v>
      </c>
      <c r="H676" s="9"/>
      <c r="I676" s="15">
        <v>0</v>
      </c>
      <c r="J676" s="15">
        <v>0</v>
      </c>
      <c r="K676" s="15">
        <v>0</v>
      </c>
      <c r="L676" s="15">
        <v>0</v>
      </c>
      <c r="M676" s="192">
        <f t="shared" si="28"/>
        <v>0</v>
      </c>
      <c r="N676" s="193"/>
      <c r="O676" s="4"/>
    </row>
    <row r="677" spans="1:15" x14ac:dyDescent="0.25">
      <c r="A677" s="181" t="s">
        <v>90</v>
      </c>
      <c r="B677" s="182"/>
      <c r="C677" s="183"/>
      <c r="D677" s="9" t="s">
        <v>57</v>
      </c>
      <c r="E677" s="9" t="s">
        <v>57</v>
      </c>
      <c r="F677" s="9" t="s">
        <v>57</v>
      </c>
      <c r="G677" s="9" t="s">
        <v>57</v>
      </c>
      <c r="H677" s="9"/>
      <c r="I677" s="15">
        <v>0</v>
      </c>
      <c r="J677" s="15">
        <v>0</v>
      </c>
      <c r="K677" s="15">
        <v>0</v>
      </c>
      <c r="L677" s="15">
        <v>0</v>
      </c>
      <c r="M677" s="188">
        <f t="shared" si="28"/>
        <v>0</v>
      </c>
      <c r="N677" s="189"/>
      <c r="O677" s="4"/>
    </row>
    <row r="678" spans="1:15" x14ac:dyDescent="0.25">
      <c r="O678" s="4"/>
    </row>
    <row r="679" spans="1:15" ht="15.75" x14ac:dyDescent="0.25">
      <c r="A679" s="177" t="s">
        <v>58</v>
      </c>
      <c r="B679" s="177"/>
      <c r="C679" s="177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4"/>
    </row>
    <row r="680" spans="1:15" x14ac:dyDescent="0.25">
      <c r="A680" s="178"/>
      <c r="B680" s="179"/>
      <c r="C680" s="179"/>
      <c r="D680" s="179"/>
      <c r="E680" s="179"/>
      <c r="F680" s="179"/>
      <c r="G680" s="179"/>
      <c r="H680" s="179"/>
      <c r="I680" s="179"/>
      <c r="J680" s="179"/>
      <c r="K680" s="179"/>
      <c r="L680" s="179"/>
      <c r="M680" s="179"/>
      <c r="N680" s="180"/>
      <c r="O680" s="10">
        <f>A680</f>
        <v>0</v>
      </c>
    </row>
    <row r="681" spans="1:15" x14ac:dyDescent="0.25">
      <c r="A681" s="174" t="s">
        <v>59</v>
      </c>
      <c r="B681" s="174"/>
      <c r="C681" s="174"/>
      <c r="D681" s="174"/>
      <c r="E681" s="174"/>
      <c r="F681" s="174"/>
      <c r="G681" s="174"/>
      <c r="H681" s="174"/>
      <c r="I681" s="174"/>
      <c r="J681" s="174"/>
      <c r="K681" s="174"/>
      <c r="L681" s="174"/>
      <c r="M681" s="174"/>
      <c r="N681" s="174"/>
      <c r="O681" s="10"/>
    </row>
    <row r="682" spans="1:15" x14ac:dyDescent="0.25">
      <c r="A682" s="178"/>
      <c r="B682" s="179"/>
      <c r="C682" s="179"/>
      <c r="D682" s="179"/>
      <c r="E682" s="179"/>
      <c r="F682" s="179"/>
      <c r="G682" s="179"/>
      <c r="H682" s="179"/>
      <c r="I682" s="179"/>
      <c r="J682" s="179"/>
      <c r="K682" s="179"/>
      <c r="L682" s="179"/>
      <c r="M682" s="179"/>
      <c r="N682" s="180"/>
      <c r="O682" s="10">
        <f t="shared" ref="O682:O703" si="29">A682</f>
        <v>0</v>
      </c>
    </row>
    <row r="683" spans="1:15" x14ac:dyDescent="0.25">
      <c r="A683" s="176" t="s">
        <v>60</v>
      </c>
      <c r="B683" s="176"/>
      <c r="C683" s="176"/>
      <c r="D683" s="176"/>
      <c r="E683" s="176"/>
      <c r="F683" s="176"/>
      <c r="G683" s="176"/>
      <c r="H683" s="176"/>
      <c r="I683" s="176"/>
      <c r="J683" s="176"/>
      <c r="K683" s="176"/>
      <c r="L683" s="176"/>
      <c r="M683" s="176" t="s">
        <v>61</v>
      </c>
      <c r="N683" s="176"/>
      <c r="O683" s="10"/>
    </row>
    <row r="684" spans="1:15" x14ac:dyDescent="0.25">
      <c r="A684" s="176" t="s">
        <v>62</v>
      </c>
      <c r="B684" s="176"/>
      <c r="C684" s="176"/>
      <c r="D684" s="176"/>
      <c r="E684" s="176"/>
      <c r="F684" s="176"/>
      <c r="G684" s="176"/>
      <c r="H684" s="176"/>
      <c r="I684" s="176"/>
      <c r="J684" s="176"/>
      <c r="K684" s="176"/>
      <c r="L684" s="176"/>
      <c r="M684" s="176" t="s">
        <v>61</v>
      </c>
      <c r="N684" s="176"/>
      <c r="O684" s="10"/>
    </row>
    <row r="685" spans="1:15" x14ac:dyDescent="0.25">
      <c r="O685" s="10"/>
    </row>
    <row r="686" spans="1:15" ht="15.75" x14ac:dyDescent="0.25">
      <c r="A686" s="184" t="s">
        <v>63</v>
      </c>
      <c r="B686" s="185"/>
      <c r="C686" s="185"/>
      <c r="D686" s="185"/>
      <c r="E686" s="185"/>
      <c r="F686" s="185"/>
      <c r="G686" s="185"/>
      <c r="H686" s="185"/>
      <c r="I686" s="185"/>
      <c r="J686" s="185"/>
      <c r="K686" s="185"/>
      <c r="L686" s="185"/>
      <c r="M686" s="185"/>
      <c r="N686" s="186"/>
      <c r="O686" s="10"/>
    </row>
    <row r="687" spans="1:15" x14ac:dyDescent="0.25">
      <c r="A687" s="178"/>
      <c r="B687" s="179"/>
      <c r="C687" s="179"/>
      <c r="D687" s="179"/>
      <c r="E687" s="179"/>
      <c r="F687" s="179"/>
      <c r="G687" s="179"/>
      <c r="H687" s="179"/>
      <c r="I687" s="179"/>
      <c r="J687" s="179"/>
      <c r="K687" s="179"/>
      <c r="L687" s="179"/>
      <c r="M687" s="179"/>
      <c r="N687" s="179"/>
      <c r="O687" s="10">
        <f t="shared" si="29"/>
        <v>0</v>
      </c>
    </row>
    <row r="688" spans="1:15" x14ac:dyDescent="0.25">
      <c r="A688" s="174" t="s">
        <v>64</v>
      </c>
      <c r="B688" s="174"/>
      <c r="C688" s="174"/>
      <c r="D688" s="174"/>
      <c r="E688" s="174"/>
      <c r="F688" s="174"/>
      <c r="G688" s="174"/>
      <c r="H688" s="174"/>
      <c r="I688" s="174"/>
      <c r="J688" s="174"/>
      <c r="K688" s="174"/>
      <c r="L688" s="174"/>
      <c r="M688" s="174"/>
      <c r="N688" s="174"/>
      <c r="O688" s="10"/>
    </row>
    <row r="689" spans="1:15" x14ac:dyDescent="0.25">
      <c r="A689" s="178"/>
      <c r="B689" s="179"/>
      <c r="C689" s="179"/>
      <c r="D689" s="179"/>
      <c r="E689" s="179"/>
      <c r="F689" s="179"/>
      <c r="G689" s="179"/>
      <c r="H689" s="179"/>
      <c r="I689" s="179"/>
      <c r="J689" s="179"/>
      <c r="K689" s="179"/>
      <c r="L689" s="179"/>
      <c r="M689" s="179"/>
      <c r="N689" s="180"/>
      <c r="O689" s="10">
        <f t="shared" si="29"/>
        <v>0</v>
      </c>
    </row>
    <row r="690" spans="1:15" x14ac:dyDescent="0.25">
      <c r="A690" s="176" t="s">
        <v>60</v>
      </c>
      <c r="B690" s="176"/>
      <c r="C690" s="176"/>
      <c r="D690" s="176"/>
      <c r="E690" s="176"/>
      <c r="F690" s="176"/>
      <c r="G690" s="176"/>
      <c r="H690" s="176"/>
      <c r="I690" s="176"/>
      <c r="J690" s="176"/>
      <c r="K690" s="176"/>
      <c r="L690" s="176"/>
      <c r="M690" s="176" t="s">
        <v>61</v>
      </c>
      <c r="N690" s="176"/>
      <c r="O690" s="10"/>
    </row>
    <row r="691" spans="1:15" x14ac:dyDescent="0.25">
      <c r="A691" s="176" t="s">
        <v>62</v>
      </c>
      <c r="B691" s="176"/>
      <c r="C691" s="176"/>
      <c r="D691" s="176"/>
      <c r="E691" s="176"/>
      <c r="F691" s="176"/>
      <c r="G691" s="176"/>
      <c r="H691" s="176"/>
      <c r="I691" s="176"/>
      <c r="J691" s="176"/>
      <c r="K691" s="176"/>
      <c r="L691" s="176"/>
      <c r="M691" s="176" t="s">
        <v>61</v>
      </c>
      <c r="N691" s="176"/>
      <c r="O691" s="10"/>
    </row>
    <row r="692" spans="1:15" x14ac:dyDescent="0.25">
      <c r="O692" s="10"/>
    </row>
    <row r="693" spans="1:15" ht="15.75" x14ac:dyDescent="0.25">
      <c r="A693" s="177" t="s">
        <v>65</v>
      </c>
      <c r="B693" s="177"/>
      <c r="C693" s="177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0"/>
    </row>
    <row r="694" spans="1:15" x14ac:dyDescent="0.25">
      <c r="A694" s="178"/>
      <c r="B694" s="179"/>
      <c r="C694" s="179"/>
      <c r="D694" s="179"/>
      <c r="E694" s="179"/>
      <c r="F694" s="179"/>
      <c r="G694" s="179"/>
      <c r="H694" s="179"/>
      <c r="I694" s="179"/>
      <c r="J694" s="179"/>
      <c r="K694" s="179"/>
      <c r="L694" s="179"/>
      <c r="M694" s="179"/>
      <c r="N694" s="180"/>
      <c r="O694" s="10">
        <f t="shared" si="29"/>
        <v>0</v>
      </c>
    </row>
    <row r="695" spans="1:15" x14ac:dyDescent="0.25">
      <c r="A695" s="174" t="s">
        <v>66</v>
      </c>
      <c r="B695" s="174"/>
      <c r="C695" s="174"/>
      <c r="D695" s="174"/>
      <c r="E695" s="174"/>
      <c r="F695" s="174"/>
      <c r="G695" s="174"/>
      <c r="H695" s="174"/>
      <c r="I695" s="174"/>
      <c r="J695" s="174"/>
      <c r="K695" s="174"/>
      <c r="L695" s="174"/>
      <c r="M695" s="174"/>
      <c r="N695" s="174"/>
      <c r="O695" s="10"/>
    </row>
    <row r="696" spans="1:15" x14ac:dyDescent="0.25">
      <c r="A696" s="178"/>
      <c r="B696" s="179"/>
      <c r="C696" s="179"/>
      <c r="D696" s="179"/>
      <c r="E696" s="179"/>
      <c r="F696" s="179"/>
      <c r="G696" s="179"/>
      <c r="H696" s="179"/>
      <c r="I696" s="179"/>
      <c r="J696" s="179"/>
      <c r="K696" s="179"/>
      <c r="L696" s="179"/>
      <c r="M696" s="179"/>
      <c r="N696" s="180"/>
      <c r="O696" s="10">
        <f t="shared" si="29"/>
        <v>0</v>
      </c>
    </row>
    <row r="697" spans="1:15" x14ac:dyDescent="0.25">
      <c r="A697" s="187" t="s">
        <v>60</v>
      </c>
      <c r="B697" s="187"/>
      <c r="C697" s="187"/>
      <c r="D697" s="187"/>
      <c r="E697" s="187"/>
      <c r="F697" s="187"/>
      <c r="G697" s="187"/>
      <c r="H697" s="187"/>
      <c r="I697" s="187"/>
      <c r="J697" s="187"/>
      <c r="K697" s="187"/>
      <c r="L697" s="187"/>
      <c r="M697" s="176" t="s">
        <v>61</v>
      </c>
      <c r="N697" s="176"/>
      <c r="O697" s="10"/>
    </row>
    <row r="698" spans="1:15" x14ac:dyDescent="0.25">
      <c r="A698" s="187" t="s">
        <v>62</v>
      </c>
      <c r="B698" s="187"/>
      <c r="C698" s="187"/>
      <c r="D698" s="187"/>
      <c r="E698" s="187"/>
      <c r="F698" s="187"/>
      <c r="G698" s="187"/>
      <c r="H698" s="187"/>
      <c r="I698" s="187"/>
      <c r="J698" s="187"/>
      <c r="K698" s="187"/>
      <c r="L698" s="187"/>
      <c r="M698" s="176" t="s">
        <v>61</v>
      </c>
      <c r="N698" s="176"/>
      <c r="O698" s="10"/>
    </row>
    <row r="699" spans="1:15" x14ac:dyDescent="0.25">
      <c r="O699" s="10"/>
    </row>
    <row r="700" spans="1:15" ht="15.75" x14ac:dyDescent="0.25">
      <c r="A700" s="184" t="s">
        <v>67</v>
      </c>
      <c r="B700" s="185"/>
      <c r="C700" s="185"/>
      <c r="D700" s="185"/>
      <c r="E700" s="185"/>
      <c r="F700" s="185"/>
      <c r="G700" s="185"/>
      <c r="H700" s="185"/>
      <c r="I700" s="185"/>
      <c r="J700" s="185"/>
      <c r="K700" s="185"/>
      <c r="L700" s="185"/>
      <c r="M700" s="185"/>
      <c r="N700" s="186"/>
      <c r="O700" s="10"/>
    </row>
    <row r="701" spans="1:15" x14ac:dyDescent="0.25">
      <c r="A701" s="178"/>
      <c r="B701" s="179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80"/>
      <c r="O701" s="10">
        <f t="shared" si="29"/>
        <v>0</v>
      </c>
    </row>
    <row r="702" spans="1:15" x14ac:dyDescent="0.25">
      <c r="A702" s="174" t="s">
        <v>68</v>
      </c>
      <c r="B702" s="174"/>
      <c r="C702" s="174"/>
      <c r="D702" s="174"/>
      <c r="E702" s="174"/>
      <c r="F702" s="174"/>
      <c r="G702" s="174"/>
      <c r="H702" s="174"/>
      <c r="I702" s="174"/>
      <c r="J702" s="174"/>
      <c r="K702" s="174"/>
      <c r="L702" s="174"/>
      <c r="M702" s="174"/>
      <c r="N702" s="174"/>
      <c r="O702" s="10"/>
    </row>
    <row r="703" spans="1:15" x14ac:dyDescent="0.25">
      <c r="A703" s="178"/>
      <c r="B703" s="179"/>
      <c r="C703" s="179"/>
      <c r="D703" s="179"/>
      <c r="E703" s="179"/>
      <c r="F703" s="179"/>
      <c r="G703" s="179"/>
      <c r="H703" s="179"/>
      <c r="I703" s="179"/>
      <c r="J703" s="179"/>
      <c r="K703" s="179"/>
      <c r="L703" s="179"/>
      <c r="M703" s="179"/>
      <c r="N703" s="180"/>
      <c r="O703" s="10">
        <f t="shared" si="29"/>
        <v>0</v>
      </c>
    </row>
    <row r="704" spans="1:15" x14ac:dyDescent="0.25">
      <c r="A704" s="176" t="s">
        <v>60</v>
      </c>
      <c r="B704" s="176"/>
      <c r="C704" s="176"/>
      <c r="D704" s="176"/>
      <c r="E704" s="176"/>
      <c r="F704" s="176"/>
      <c r="G704" s="176"/>
      <c r="H704" s="176"/>
      <c r="I704" s="176"/>
      <c r="J704" s="176"/>
      <c r="K704" s="176"/>
      <c r="L704" s="176"/>
      <c r="M704" s="176" t="s">
        <v>61</v>
      </c>
      <c r="N704" s="176"/>
      <c r="O704" s="10"/>
    </row>
    <row r="705" spans="1:15" x14ac:dyDescent="0.25">
      <c r="A705" s="176" t="s">
        <v>62</v>
      </c>
      <c r="B705" s="176"/>
      <c r="C705" s="176"/>
      <c r="D705" s="176"/>
      <c r="E705" s="176"/>
      <c r="F705" s="176"/>
      <c r="G705" s="176"/>
      <c r="H705" s="176"/>
      <c r="I705" s="176"/>
      <c r="J705" s="176"/>
      <c r="K705" s="176"/>
      <c r="L705" s="176"/>
      <c r="M705" s="176" t="s">
        <v>61</v>
      </c>
      <c r="N705" s="176"/>
      <c r="O705" s="10"/>
    </row>
    <row r="706" spans="1:15" x14ac:dyDescent="0.25">
      <c r="A706" s="209" t="s">
        <v>91</v>
      </c>
      <c r="B706" s="209"/>
      <c r="C706" s="209"/>
      <c r="D706" s="209"/>
      <c r="E706" s="209"/>
      <c r="F706" s="209"/>
      <c r="G706" s="209"/>
      <c r="H706" s="209"/>
      <c r="I706" s="209"/>
      <c r="J706" s="209"/>
      <c r="K706" s="209"/>
      <c r="L706" s="209"/>
      <c r="M706" s="209"/>
      <c r="N706" s="209"/>
      <c r="O706" s="4"/>
    </row>
    <row r="707" spans="1:15" x14ac:dyDescent="0.25">
      <c r="A707" s="209" t="s">
        <v>89</v>
      </c>
      <c r="B707" s="209"/>
      <c r="C707" s="209"/>
      <c r="D707" s="209"/>
      <c r="E707" s="209"/>
      <c r="F707" s="209"/>
      <c r="G707" s="209"/>
      <c r="H707" s="209"/>
      <c r="I707" s="209"/>
      <c r="J707" s="209"/>
      <c r="K707" s="209"/>
      <c r="L707" s="209"/>
      <c r="M707" s="209"/>
      <c r="N707" s="209"/>
      <c r="O707" s="4"/>
    </row>
    <row r="708" spans="1:15" x14ac:dyDescent="0.25">
      <c r="A708" s="209" t="s">
        <v>44</v>
      </c>
      <c r="B708" s="209"/>
      <c r="C708" s="209"/>
      <c r="D708" s="209"/>
      <c r="E708" s="209"/>
      <c r="F708" s="209"/>
      <c r="G708" s="209"/>
      <c r="H708" s="209"/>
      <c r="I708" s="209"/>
      <c r="J708" s="209"/>
      <c r="K708" s="209"/>
      <c r="L708" s="209"/>
      <c r="M708" s="209"/>
      <c r="N708" s="209"/>
      <c r="O708" s="4"/>
    </row>
    <row r="709" spans="1:15" ht="15.75" x14ac:dyDescent="0.25">
      <c r="A709" s="210" t="s">
        <v>72</v>
      </c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0"/>
      <c r="M709" s="210"/>
      <c r="N709" s="210"/>
      <c r="O709" s="4"/>
    </row>
    <row r="710" spans="1:15" ht="15.75" x14ac:dyDescent="0.25">
      <c r="A710" s="211" t="s">
        <v>125</v>
      </c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211"/>
      <c r="N710" s="211"/>
      <c r="O710" s="4"/>
    </row>
    <row r="711" spans="1:15" ht="15.75" x14ac:dyDescent="0.25">
      <c r="A711" s="5" t="s">
        <v>46</v>
      </c>
      <c r="B711" s="208" t="s">
        <v>123</v>
      </c>
      <c r="C711" s="208"/>
      <c r="D711" s="208"/>
      <c r="E711" s="208"/>
      <c r="F711" s="208"/>
      <c r="G711" s="208"/>
      <c r="H711" s="208"/>
      <c r="I711" s="208"/>
      <c r="J711" s="208"/>
      <c r="K711" s="208"/>
      <c r="L711" s="208"/>
      <c r="M711" s="208"/>
      <c r="N711" s="208"/>
      <c r="O711" s="4"/>
    </row>
    <row r="712" spans="1:15" ht="15.75" x14ac:dyDescent="0.25">
      <c r="A712" s="5" t="s">
        <v>47</v>
      </c>
      <c r="B712" s="175" t="s">
        <v>108</v>
      </c>
      <c r="C712" s="175"/>
      <c r="D712" s="175"/>
      <c r="E712" s="175"/>
      <c r="F712" s="175"/>
      <c r="G712" s="175"/>
      <c r="H712" s="175"/>
      <c r="I712" s="175"/>
      <c r="J712" s="175"/>
      <c r="K712" s="175"/>
      <c r="L712" s="174" t="s">
        <v>74</v>
      </c>
      <c r="M712" s="174"/>
      <c r="N712" s="34">
        <v>4818.845803961548</v>
      </c>
      <c r="O712" s="4"/>
    </row>
    <row r="713" spans="1:15" x14ac:dyDescent="0.25">
      <c r="A713" s="6" t="s">
        <v>21</v>
      </c>
      <c r="B713" s="7" t="s">
        <v>92</v>
      </c>
      <c r="C713" s="6" t="s">
        <v>22</v>
      </c>
      <c r="D713" s="7">
        <v>2020</v>
      </c>
      <c r="E713" s="194" t="s">
        <v>20</v>
      </c>
      <c r="F713" s="194"/>
      <c r="G713" s="194"/>
      <c r="H713" s="195" t="s">
        <v>124</v>
      </c>
      <c r="I713" s="196"/>
      <c r="J713" s="196"/>
      <c r="K713" s="196"/>
      <c r="L713" s="196"/>
      <c r="M713" s="196"/>
      <c r="N713" s="197"/>
      <c r="O713" s="4"/>
    </row>
    <row r="714" spans="1:15" x14ac:dyDescent="0.25">
      <c r="A714" s="198" t="s">
        <v>48</v>
      </c>
      <c r="B714" s="199"/>
      <c r="C714" s="200"/>
      <c r="D714" s="204" t="s">
        <v>49</v>
      </c>
      <c r="E714" s="205"/>
      <c r="F714" s="205"/>
      <c r="G714" s="205"/>
      <c r="H714" s="206"/>
      <c r="I714" s="207" t="s">
        <v>50</v>
      </c>
      <c r="J714" s="207"/>
      <c r="K714" s="207"/>
      <c r="L714" s="207"/>
      <c r="M714" s="207"/>
      <c r="N714" s="207"/>
      <c r="O714" s="4"/>
    </row>
    <row r="715" spans="1:15" ht="30" x14ac:dyDescent="0.25">
      <c r="A715" s="201"/>
      <c r="B715" s="202"/>
      <c r="C715" s="203"/>
      <c r="D715" s="8" t="s">
        <v>51</v>
      </c>
      <c r="E715" s="8" t="s">
        <v>52</v>
      </c>
      <c r="F715" s="8" t="s">
        <v>53</v>
      </c>
      <c r="G715" s="8" t="s">
        <v>54</v>
      </c>
      <c r="H715" s="8" t="s">
        <v>55</v>
      </c>
      <c r="I715" s="33" t="s">
        <v>51</v>
      </c>
      <c r="J715" s="33" t="s">
        <v>52</v>
      </c>
      <c r="K715" s="33" t="s">
        <v>53</v>
      </c>
      <c r="L715" s="33" t="s">
        <v>54</v>
      </c>
      <c r="M715" s="201" t="s">
        <v>56</v>
      </c>
      <c r="N715" s="203"/>
      <c r="O715" s="4"/>
    </row>
    <row r="716" spans="1:15" x14ac:dyDescent="0.25">
      <c r="A716" s="181" t="s">
        <v>2</v>
      </c>
      <c r="B716" s="182"/>
      <c r="C716" s="183"/>
      <c r="D716" s="9" t="s">
        <v>57</v>
      </c>
      <c r="E716" s="9" t="s">
        <v>57</v>
      </c>
      <c r="F716" s="9" t="s">
        <v>57</v>
      </c>
      <c r="G716" s="9" t="s">
        <v>57</v>
      </c>
      <c r="H716" s="9"/>
      <c r="I716" s="15">
        <v>0</v>
      </c>
      <c r="J716" s="15">
        <v>0</v>
      </c>
      <c r="K716" s="15">
        <v>0</v>
      </c>
      <c r="L716" s="15">
        <v>0</v>
      </c>
      <c r="M716" s="190">
        <f>I716+J716+K716+L716</f>
        <v>0</v>
      </c>
      <c r="N716" s="191"/>
      <c r="O716" s="4"/>
    </row>
    <row r="717" spans="1:15" x14ac:dyDescent="0.25">
      <c r="A717" s="181" t="s">
        <v>3</v>
      </c>
      <c r="B717" s="182"/>
      <c r="C717" s="183"/>
      <c r="D717" s="9" t="s">
        <v>57</v>
      </c>
      <c r="E717" s="9" t="s">
        <v>57</v>
      </c>
      <c r="F717" s="9" t="s">
        <v>57</v>
      </c>
      <c r="G717" s="9" t="s">
        <v>57</v>
      </c>
      <c r="H717" s="9"/>
      <c r="I717" s="15">
        <v>0</v>
      </c>
      <c r="J717" s="15">
        <v>0</v>
      </c>
      <c r="K717" s="15">
        <v>0</v>
      </c>
      <c r="L717" s="15">
        <v>0</v>
      </c>
      <c r="M717" s="192">
        <f t="shared" ref="M717:M724" si="30">I717+J717+K717+L717</f>
        <v>0</v>
      </c>
      <c r="N717" s="193"/>
      <c r="O717" s="4"/>
    </row>
    <row r="718" spans="1:15" x14ac:dyDescent="0.25">
      <c r="A718" s="181" t="s">
        <v>4</v>
      </c>
      <c r="B718" s="182"/>
      <c r="C718" s="183"/>
      <c r="D718" s="9" t="s">
        <v>57</v>
      </c>
      <c r="E718" s="9" t="s">
        <v>57</v>
      </c>
      <c r="F718" s="9" t="s">
        <v>57</v>
      </c>
      <c r="G718" s="9" t="s">
        <v>57</v>
      </c>
      <c r="H718" s="9"/>
      <c r="I718" s="15">
        <v>0</v>
      </c>
      <c r="J718" s="15">
        <v>0</v>
      </c>
      <c r="K718" s="15">
        <v>0</v>
      </c>
      <c r="L718" s="15">
        <v>0</v>
      </c>
      <c r="M718" s="192">
        <f t="shared" si="30"/>
        <v>0</v>
      </c>
      <c r="N718" s="193"/>
      <c r="O718" s="4"/>
    </row>
    <row r="719" spans="1:15" x14ac:dyDescent="0.25">
      <c r="A719" s="181" t="s">
        <v>5</v>
      </c>
      <c r="B719" s="182"/>
      <c r="C719" s="183"/>
      <c r="D719" s="9" t="s">
        <v>57</v>
      </c>
      <c r="E719" s="9" t="s">
        <v>57</v>
      </c>
      <c r="F719" s="9" t="s">
        <v>57</v>
      </c>
      <c r="G719" s="9" t="s">
        <v>57</v>
      </c>
      <c r="H719" s="9"/>
      <c r="I719" s="15">
        <v>0</v>
      </c>
      <c r="J719" s="15">
        <v>0</v>
      </c>
      <c r="K719" s="15">
        <v>0</v>
      </c>
      <c r="L719" s="15">
        <v>0</v>
      </c>
      <c r="M719" s="192">
        <f t="shared" si="30"/>
        <v>0</v>
      </c>
      <c r="N719" s="193"/>
      <c r="O719" s="4"/>
    </row>
    <row r="720" spans="1:15" x14ac:dyDescent="0.25">
      <c r="A720" s="181" t="s">
        <v>6</v>
      </c>
      <c r="B720" s="182"/>
      <c r="C720" s="183"/>
      <c r="D720" s="9" t="s">
        <v>57</v>
      </c>
      <c r="E720" s="9" t="s">
        <v>57</v>
      </c>
      <c r="F720" s="9" t="s">
        <v>57</v>
      </c>
      <c r="G720" s="9" t="s">
        <v>57</v>
      </c>
      <c r="H720" s="9"/>
      <c r="I720" s="15">
        <v>0</v>
      </c>
      <c r="J720" s="15">
        <v>0</v>
      </c>
      <c r="K720" s="15">
        <v>0</v>
      </c>
      <c r="L720" s="15">
        <v>0</v>
      </c>
      <c r="M720" s="192">
        <f t="shared" si="30"/>
        <v>0</v>
      </c>
      <c r="N720" s="193"/>
      <c r="O720" s="4"/>
    </row>
    <row r="721" spans="1:15" x14ac:dyDescent="0.25">
      <c r="A721" s="181" t="s">
        <v>8</v>
      </c>
      <c r="B721" s="182"/>
      <c r="C721" s="183"/>
      <c r="D721" s="9" t="s">
        <v>57</v>
      </c>
      <c r="E721" s="9" t="s">
        <v>57</v>
      </c>
      <c r="F721" s="9" t="s">
        <v>57</v>
      </c>
      <c r="G721" s="9" t="s">
        <v>57</v>
      </c>
      <c r="H721" s="9"/>
      <c r="I721" s="15">
        <v>0</v>
      </c>
      <c r="J721" s="15">
        <v>0</v>
      </c>
      <c r="K721" s="15">
        <v>0</v>
      </c>
      <c r="L721" s="15">
        <v>0</v>
      </c>
      <c r="M721" s="192">
        <f t="shared" si="30"/>
        <v>0</v>
      </c>
      <c r="N721" s="193"/>
      <c r="O721" s="4"/>
    </row>
    <row r="722" spans="1:15" x14ac:dyDescent="0.25">
      <c r="A722" s="181" t="s">
        <v>38</v>
      </c>
      <c r="B722" s="182"/>
      <c r="C722" s="183"/>
      <c r="D722" s="9" t="s">
        <v>57</v>
      </c>
      <c r="E722" s="9" t="s">
        <v>57</v>
      </c>
      <c r="F722" s="9" t="s">
        <v>57</v>
      </c>
      <c r="G722" s="9" t="s">
        <v>57</v>
      </c>
      <c r="H722" s="9"/>
      <c r="I722" s="15">
        <v>0</v>
      </c>
      <c r="J722" s="15">
        <v>0</v>
      </c>
      <c r="K722" s="15">
        <v>0</v>
      </c>
      <c r="L722" s="15">
        <v>0</v>
      </c>
      <c r="M722" s="192">
        <f t="shared" si="30"/>
        <v>0</v>
      </c>
      <c r="N722" s="193"/>
      <c r="O722" s="4"/>
    </row>
    <row r="723" spans="1:15" x14ac:dyDescent="0.25">
      <c r="A723" s="181" t="s">
        <v>7</v>
      </c>
      <c r="B723" s="182"/>
      <c r="C723" s="183"/>
      <c r="D723" s="9" t="s">
        <v>57</v>
      </c>
      <c r="E723" s="9" t="s">
        <v>57</v>
      </c>
      <c r="F723" s="9" t="s">
        <v>57</v>
      </c>
      <c r="G723" s="9" t="s">
        <v>57</v>
      </c>
      <c r="H723" s="9"/>
      <c r="I723" s="15">
        <v>0</v>
      </c>
      <c r="J723" s="15">
        <v>0</v>
      </c>
      <c r="K723" s="15">
        <v>0</v>
      </c>
      <c r="L723" s="15">
        <v>0</v>
      </c>
      <c r="M723" s="192">
        <f t="shared" si="30"/>
        <v>0</v>
      </c>
      <c r="N723" s="193"/>
      <c r="O723" s="4"/>
    </row>
    <row r="724" spans="1:15" x14ac:dyDescent="0.25">
      <c r="A724" s="181" t="s">
        <v>90</v>
      </c>
      <c r="B724" s="182"/>
      <c r="C724" s="183"/>
      <c r="D724" s="9" t="s">
        <v>57</v>
      </c>
      <c r="E724" s="9" t="s">
        <v>57</v>
      </c>
      <c r="F724" s="9" t="s">
        <v>57</v>
      </c>
      <c r="G724" s="9" t="s">
        <v>57</v>
      </c>
      <c r="H724" s="9"/>
      <c r="I724" s="15">
        <v>0</v>
      </c>
      <c r="J724" s="15">
        <v>0</v>
      </c>
      <c r="K724" s="15">
        <v>0</v>
      </c>
      <c r="L724" s="15">
        <v>0</v>
      </c>
      <c r="M724" s="188">
        <f t="shared" si="30"/>
        <v>0</v>
      </c>
      <c r="N724" s="189"/>
      <c r="O724" s="4"/>
    </row>
    <row r="725" spans="1:15" x14ac:dyDescent="0.25">
      <c r="O725" s="4"/>
    </row>
    <row r="726" spans="1:15" ht="15.75" x14ac:dyDescent="0.25">
      <c r="A726" s="177" t="s">
        <v>58</v>
      </c>
      <c r="B726" s="177"/>
      <c r="C726" s="177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4"/>
    </row>
    <row r="727" spans="1:15" x14ac:dyDescent="0.25">
      <c r="A727" s="178"/>
      <c r="B727" s="179"/>
      <c r="C727" s="179"/>
      <c r="D727" s="179"/>
      <c r="E727" s="179"/>
      <c r="F727" s="179"/>
      <c r="G727" s="179"/>
      <c r="H727" s="179"/>
      <c r="I727" s="179"/>
      <c r="J727" s="179"/>
      <c r="K727" s="179"/>
      <c r="L727" s="179"/>
      <c r="M727" s="179"/>
      <c r="N727" s="180"/>
      <c r="O727" s="10">
        <f>A727</f>
        <v>0</v>
      </c>
    </row>
    <row r="728" spans="1:15" x14ac:dyDescent="0.25">
      <c r="A728" s="174" t="s">
        <v>59</v>
      </c>
      <c r="B728" s="174"/>
      <c r="C728" s="174"/>
      <c r="D728" s="174"/>
      <c r="E728" s="174"/>
      <c r="F728" s="174"/>
      <c r="G728" s="174"/>
      <c r="H728" s="174"/>
      <c r="I728" s="174"/>
      <c r="J728" s="174"/>
      <c r="K728" s="174"/>
      <c r="L728" s="174"/>
      <c r="M728" s="174"/>
      <c r="N728" s="174"/>
      <c r="O728" s="10"/>
    </row>
    <row r="729" spans="1:15" x14ac:dyDescent="0.25">
      <c r="A729" s="178"/>
      <c r="B729" s="179"/>
      <c r="C729" s="179"/>
      <c r="D729" s="179"/>
      <c r="E729" s="179"/>
      <c r="F729" s="179"/>
      <c r="G729" s="179"/>
      <c r="H729" s="179"/>
      <c r="I729" s="179"/>
      <c r="J729" s="179"/>
      <c r="K729" s="179"/>
      <c r="L729" s="179"/>
      <c r="M729" s="179"/>
      <c r="N729" s="180"/>
      <c r="O729" s="10">
        <f t="shared" ref="O729:O750" si="31">A729</f>
        <v>0</v>
      </c>
    </row>
    <row r="730" spans="1:15" x14ac:dyDescent="0.25">
      <c r="A730" s="176" t="s">
        <v>60</v>
      </c>
      <c r="B730" s="176"/>
      <c r="C730" s="176"/>
      <c r="D730" s="176"/>
      <c r="E730" s="176"/>
      <c r="F730" s="176"/>
      <c r="G730" s="176"/>
      <c r="H730" s="176"/>
      <c r="I730" s="176"/>
      <c r="J730" s="176"/>
      <c r="K730" s="176"/>
      <c r="L730" s="176"/>
      <c r="M730" s="176" t="s">
        <v>61</v>
      </c>
      <c r="N730" s="176"/>
      <c r="O730" s="10"/>
    </row>
    <row r="731" spans="1:15" x14ac:dyDescent="0.25">
      <c r="A731" s="176" t="s">
        <v>62</v>
      </c>
      <c r="B731" s="176"/>
      <c r="C731" s="176"/>
      <c r="D731" s="176"/>
      <c r="E731" s="176"/>
      <c r="F731" s="176"/>
      <c r="G731" s="176"/>
      <c r="H731" s="176"/>
      <c r="I731" s="176"/>
      <c r="J731" s="176"/>
      <c r="K731" s="176"/>
      <c r="L731" s="176"/>
      <c r="M731" s="176" t="s">
        <v>61</v>
      </c>
      <c r="N731" s="176"/>
      <c r="O731" s="10"/>
    </row>
    <row r="732" spans="1:15" x14ac:dyDescent="0.25">
      <c r="O732" s="10"/>
    </row>
    <row r="733" spans="1:15" ht="15.75" x14ac:dyDescent="0.25">
      <c r="A733" s="184" t="s">
        <v>63</v>
      </c>
      <c r="B733" s="185"/>
      <c r="C733" s="185"/>
      <c r="D733" s="185"/>
      <c r="E733" s="185"/>
      <c r="F733" s="185"/>
      <c r="G733" s="185"/>
      <c r="H733" s="185"/>
      <c r="I733" s="185"/>
      <c r="J733" s="185"/>
      <c r="K733" s="185"/>
      <c r="L733" s="185"/>
      <c r="M733" s="185"/>
      <c r="N733" s="186"/>
      <c r="O733" s="10"/>
    </row>
    <row r="734" spans="1:15" x14ac:dyDescent="0.25">
      <c r="A734" s="178"/>
      <c r="B734" s="179"/>
      <c r="C734" s="179"/>
      <c r="D734" s="179"/>
      <c r="E734" s="179"/>
      <c r="F734" s="179"/>
      <c r="G734" s="179"/>
      <c r="H734" s="179"/>
      <c r="I734" s="179"/>
      <c r="J734" s="179"/>
      <c r="K734" s="179"/>
      <c r="L734" s="179"/>
      <c r="M734" s="179"/>
      <c r="N734" s="179"/>
      <c r="O734" s="10">
        <f t="shared" si="31"/>
        <v>0</v>
      </c>
    </row>
    <row r="735" spans="1:15" x14ac:dyDescent="0.25">
      <c r="A735" s="174" t="s">
        <v>64</v>
      </c>
      <c r="B735" s="174"/>
      <c r="C735" s="174"/>
      <c r="D735" s="174"/>
      <c r="E735" s="174"/>
      <c r="F735" s="174"/>
      <c r="G735" s="174"/>
      <c r="H735" s="174"/>
      <c r="I735" s="174"/>
      <c r="J735" s="174"/>
      <c r="K735" s="174"/>
      <c r="L735" s="174"/>
      <c r="M735" s="174"/>
      <c r="N735" s="174"/>
      <c r="O735" s="10"/>
    </row>
    <row r="736" spans="1:15" x14ac:dyDescent="0.25">
      <c r="A736" s="178"/>
      <c r="B736" s="179"/>
      <c r="C736" s="179"/>
      <c r="D736" s="179"/>
      <c r="E736" s="179"/>
      <c r="F736" s="179"/>
      <c r="G736" s="179"/>
      <c r="H736" s="179"/>
      <c r="I736" s="179"/>
      <c r="J736" s="179"/>
      <c r="K736" s="179"/>
      <c r="L736" s="179"/>
      <c r="M736" s="179"/>
      <c r="N736" s="180"/>
      <c r="O736" s="10">
        <f t="shared" si="31"/>
        <v>0</v>
      </c>
    </row>
    <row r="737" spans="1:15" x14ac:dyDescent="0.25">
      <c r="A737" s="176" t="s">
        <v>60</v>
      </c>
      <c r="B737" s="176"/>
      <c r="C737" s="176"/>
      <c r="D737" s="176"/>
      <c r="E737" s="176"/>
      <c r="F737" s="176"/>
      <c r="G737" s="176"/>
      <c r="H737" s="176"/>
      <c r="I737" s="176"/>
      <c r="J737" s="176"/>
      <c r="K737" s="176"/>
      <c r="L737" s="176"/>
      <c r="M737" s="176" t="s">
        <v>61</v>
      </c>
      <c r="N737" s="176"/>
      <c r="O737" s="10"/>
    </row>
    <row r="738" spans="1:15" x14ac:dyDescent="0.25">
      <c r="A738" s="176" t="s">
        <v>62</v>
      </c>
      <c r="B738" s="176"/>
      <c r="C738" s="176"/>
      <c r="D738" s="176"/>
      <c r="E738" s="176"/>
      <c r="F738" s="176"/>
      <c r="G738" s="176"/>
      <c r="H738" s="176"/>
      <c r="I738" s="176"/>
      <c r="J738" s="176"/>
      <c r="K738" s="176"/>
      <c r="L738" s="176"/>
      <c r="M738" s="176" t="s">
        <v>61</v>
      </c>
      <c r="N738" s="176"/>
      <c r="O738" s="10"/>
    </row>
    <row r="739" spans="1:15" x14ac:dyDescent="0.25">
      <c r="O739" s="10"/>
    </row>
    <row r="740" spans="1:15" ht="15.75" x14ac:dyDescent="0.25">
      <c r="A740" s="177" t="s">
        <v>65</v>
      </c>
      <c r="B740" s="177"/>
      <c r="C740" s="177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0"/>
    </row>
    <row r="741" spans="1:15" x14ac:dyDescent="0.25">
      <c r="A741" s="178"/>
      <c r="B741" s="179"/>
      <c r="C741" s="179"/>
      <c r="D741" s="179"/>
      <c r="E741" s="179"/>
      <c r="F741" s="179"/>
      <c r="G741" s="179"/>
      <c r="H741" s="179"/>
      <c r="I741" s="179"/>
      <c r="J741" s="179"/>
      <c r="K741" s="179"/>
      <c r="L741" s="179"/>
      <c r="M741" s="179"/>
      <c r="N741" s="180"/>
      <c r="O741" s="10">
        <f t="shared" si="31"/>
        <v>0</v>
      </c>
    </row>
    <row r="742" spans="1:15" x14ac:dyDescent="0.25">
      <c r="A742" s="174" t="s">
        <v>66</v>
      </c>
      <c r="B742" s="174"/>
      <c r="C742" s="174"/>
      <c r="D742" s="174"/>
      <c r="E742" s="174"/>
      <c r="F742" s="174"/>
      <c r="G742" s="174"/>
      <c r="H742" s="174"/>
      <c r="I742" s="174"/>
      <c r="J742" s="174"/>
      <c r="K742" s="174"/>
      <c r="L742" s="174"/>
      <c r="M742" s="174"/>
      <c r="N742" s="174"/>
      <c r="O742" s="10"/>
    </row>
    <row r="743" spans="1:15" x14ac:dyDescent="0.25">
      <c r="A743" s="178"/>
      <c r="B743" s="179"/>
      <c r="C743" s="179"/>
      <c r="D743" s="179"/>
      <c r="E743" s="179"/>
      <c r="F743" s="179"/>
      <c r="G743" s="179"/>
      <c r="H743" s="179"/>
      <c r="I743" s="179"/>
      <c r="J743" s="179"/>
      <c r="K743" s="179"/>
      <c r="L743" s="179"/>
      <c r="M743" s="179"/>
      <c r="N743" s="180"/>
      <c r="O743" s="10">
        <f t="shared" si="31"/>
        <v>0</v>
      </c>
    </row>
    <row r="744" spans="1:15" x14ac:dyDescent="0.25">
      <c r="A744" s="187" t="s">
        <v>60</v>
      </c>
      <c r="B744" s="187"/>
      <c r="C744" s="187"/>
      <c r="D744" s="187"/>
      <c r="E744" s="187"/>
      <c r="F744" s="187"/>
      <c r="G744" s="187"/>
      <c r="H744" s="187"/>
      <c r="I744" s="187"/>
      <c r="J744" s="187"/>
      <c r="K744" s="187"/>
      <c r="L744" s="187"/>
      <c r="M744" s="176" t="s">
        <v>61</v>
      </c>
      <c r="N744" s="176"/>
      <c r="O744" s="10"/>
    </row>
    <row r="745" spans="1:15" x14ac:dyDescent="0.25">
      <c r="A745" s="187" t="s">
        <v>62</v>
      </c>
      <c r="B745" s="187"/>
      <c r="C745" s="187"/>
      <c r="D745" s="187"/>
      <c r="E745" s="187"/>
      <c r="F745" s="187"/>
      <c r="G745" s="187"/>
      <c r="H745" s="187"/>
      <c r="I745" s="187"/>
      <c r="J745" s="187"/>
      <c r="K745" s="187"/>
      <c r="L745" s="187"/>
      <c r="M745" s="176" t="s">
        <v>61</v>
      </c>
      <c r="N745" s="176"/>
      <c r="O745" s="10"/>
    </row>
    <row r="746" spans="1:15" x14ac:dyDescent="0.25">
      <c r="O746" s="10"/>
    </row>
    <row r="747" spans="1:15" ht="15.75" x14ac:dyDescent="0.25">
      <c r="A747" s="184" t="s">
        <v>67</v>
      </c>
      <c r="B747" s="185"/>
      <c r="C747" s="185"/>
      <c r="D747" s="185"/>
      <c r="E747" s="185"/>
      <c r="F747" s="185"/>
      <c r="G747" s="185"/>
      <c r="H747" s="185"/>
      <c r="I747" s="185"/>
      <c r="J747" s="185"/>
      <c r="K747" s="185"/>
      <c r="L747" s="185"/>
      <c r="M747" s="185"/>
      <c r="N747" s="186"/>
      <c r="O747" s="10"/>
    </row>
    <row r="748" spans="1:15" x14ac:dyDescent="0.25">
      <c r="A748" s="178"/>
      <c r="B748" s="179"/>
      <c r="C748" s="179"/>
      <c r="D748" s="179"/>
      <c r="E748" s="179"/>
      <c r="F748" s="179"/>
      <c r="G748" s="179"/>
      <c r="H748" s="179"/>
      <c r="I748" s="179"/>
      <c r="J748" s="179"/>
      <c r="K748" s="179"/>
      <c r="L748" s="179"/>
      <c r="M748" s="179"/>
      <c r="N748" s="180"/>
      <c r="O748" s="10">
        <f t="shared" si="31"/>
        <v>0</v>
      </c>
    </row>
    <row r="749" spans="1:15" x14ac:dyDescent="0.25">
      <c r="A749" s="174" t="s">
        <v>68</v>
      </c>
      <c r="B749" s="174"/>
      <c r="C749" s="174"/>
      <c r="D749" s="174"/>
      <c r="E749" s="174"/>
      <c r="F749" s="174"/>
      <c r="G749" s="174"/>
      <c r="H749" s="174"/>
      <c r="I749" s="174"/>
      <c r="J749" s="174"/>
      <c r="K749" s="174"/>
      <c r="L749" s="174"/>
      <c r="M749" s="174"/>
      <c r="N749" s="174"/>
      <c r="O749" s="10"/>
    </row>
    <row r="750" spans="1:15" x14ac:dyDescent="0.25">
      <c r="A750" s="178"/>
      <c r="B750" s="179"/>
      <c r="C750" s="179"/>
      <c r="D750" s="179"/>
      <c r="E750" s="179"/>
      <c r="F750" s="179"/>
      <c r="G750" s="179"/>
      <c r="H750" s="179"/>
      <c r="I750" s="179"/>
      <c r="J750" s="179"/>
      <c r="K750" s="179"/>
      <c r="L750" s="179"/>
      <c r="M750" s="179"/>
      <c r="N750" s="180"/>
      <c r="O750" s="10">
        <f t="shared" si="31"/>
        <v>0</v>
      </c>
    </row>
    <row r="751" spans="1:15" x14ac:dyDescent="0.25">
      <c r="A751" s="176" t="s">
        <v>60</v>
      </c>
      <c r="B751" s="176"/>
      <c r="C751" s="176"/>
      <c r="D751" s="176"/>
      <c r="E751" s="176"/>
      <c r="F751" s="176"/>
      <c r="G751" s="176"/>
      <c r="H751" s="176"/>
      <c r="I751" s="176"/>
      <c r="J751" s="176"/>
      <c r="K751" s="176"/>
      <c r="L751" s="176"/>
      <c r="M751" s="176" t="s">
        <v>61</v>
      </c>
      <c r="N751" s="176"/>
      <c r="O751" s="10"/>
    </row>
    <row r="752" spans="1:15" x14ac:dyDescent="0.25">
      <c r="A752" s="176" t="s">
        <v>62</v>
      </c>
      <c r="B752" s="176"/>
      <c r="C752" s="176"/>
      <c r="D752" s="176"/>
      <c r="E752" s="176"/>
      <c r="F752" s="176"/>
      <c r="G752" s="176"/>
      <c r="H752" s="176"/>
      <c r="I752" s="176"/>
      <c r="J752" s="176"/>
      <c r="K752" s="176"/>
      <c r="L752" s="176"/>
      <c r="M752" s="176" t="s">
        <v>61</v>
      </c>
      <c r="N752" s="176"/>
      <c r="O752" s="10"/>
    </row>
    <row r="753" spans="1:15" x14ac:dyDescent="0.25">
      <c r="A753" s="209" t="s">
        <v>91</v>
      </c>
      <c r="B753" s="209"/>
      <c r="C753" s="209"/>
      <c r="D753" s="209"/>
      <c r="E753" s="209"/>
      <c r="F753" s="209"/>
      <c r="G753" s="209"/>
      <c r="H753" s="209"/>
      <c r="I753" s="209"/>
      <c r="J753" s="209"/>
      <c r="K753" s="209"/>
      <c r="L753" s="209"/>
      <c r="M753" s="209"/>
      <c r="N753" s="209"/>
      <c r="O753" s="4"/>
    </row>
    <row r="754" spans="1:15" x14ac:dyDescent="0.25">
      <c r="A754" s="209" t="s">
        <v>89</v>
      </c>
      <c r="B754" s="209"/>
      <c r="C754" s="209"/>
      <c r="D754" s="209"/>
      <c r="E754" s="209"/>
      <c r="F754" s="209"/>
      <c r="G754" s="209"/>
      <c r="H754" s="209"/>
      <c r="I754" s="209"/>
      <c r="J754" s="209"/>
      <c r="K754" s="209"/>
      <c r="L754" s="209"/>
      <c r="M754" s="209"/>
      <c r="N754" s="209"/>
      <c r="O754" s="4"/>
    </row>
    <row r="755" spans="1:15" x14ac:dyDescent="0.25">
      <c r="A755" s="209" t="s">
        <v>44</v>
      </c>
      <c r="B755" s="209"/>
      <c r="C755" s="209"/>
      <c r="D755" s="209"/>
      <c r="E755" s="209"/>
      <c r="F755" s="209"/>
      <c r="G755" s="209"/>
      <c r="H755" s="209"/>
      <c r="I755" s="209"/>
      <c r="J755" s="209"/>
      <c r="K755" s="209"/>
      <c r="L755" s="209"/>
      <c r="M755" s="209"/>
      <c r="N755" s="209"/>
      <c r="O755" s="4"/>
    </row>
    <row r="756" spans="1:15" ht="15.75" x14ac:dyDescent="0.25">
      <c r="A756" s="210" t="s">
        <v>72</v>
      </c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0"/>
      <c r="M756" s="210"/>
      <c r="N756" s="210"/>
      <c r="O756" s="4"/>
    </row>
    <row r="757" spans="1:15" ht="15.75" x14ac:dyDescent="0.25">
      <c r="A757" s="211" t="s">
        <v>125</v>
      </c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211"/>
      <c r="N757" s="211"/>
      <c r="O757" s="4"/>
    </row>
    <row r="758" spans="1:15" ht="15.75" x14ac:dyDescent="0.25">
      <c r="A758" s="5" t="s">
        <v>46</v>
      </c>
      <c r="B758" s="208" t="s">
        <v>123</v>
      </c>
      <c r="C758" s="208"/>
      <c r="D758" s="208"/>
      <c r="E758" s="208"/>
      <c r="F758" s="208"/>
      <c r="G758" s="208"/>
      <c r="H758" s="208"/>
      <c r="I758" s="208"/>
      <c r="J758" s="208"/>
      <c r="K758" s="208"/>
      <c r="L758" s="208"/>
      <c r="M758" s="208"/>
      <c r="N758" s="208"/>
      <c r="O758" s="4"/>
    </row>
    <row r="759" spans="1:15" ht="15.75" x14ac:dyDescent="0.25">
      <c r="A759" s="5" t="s">
        <v>47</v>
      </c>
      <c r="B759" s="175" t="s">
        <v>109</v>
      </c>
      <c r="C759" s="175"/>
      <c r="D759" s="175"/>
      <c r="E759" s="175"/>
      <c r="F759" s="175"/>
      <c r="G759" s="175"/>
      <c r="H759" s="175"/>
      <c r="I759" s="175"/>
      <c r="J759" s="175"/>
      <c r="K759" s="175"/>
      <c r="L759" s="174" t="s">
        <v>74</v>
      </c>
      <c r="M759" s="174"/>
      <c r="N759" s="34">
        <v>19614.896793209777</v>
      </c>
      <c r="O759" s="4"/>
    </row>
    <row r="760" spans="1:15" x14ac:dyDescent="0.25">
      <c r="A760" s="6" t="s">
        <v>21</v>
      </c>
      <c r="B760" s="7" t="s">
        <v>92</v>
      </c>
      <c r="C760" s="6" t="s">
        <v>22</v>
      </c>
      <c r="D760" s="7">
        <v>2020</v>
      </c>
      <c r="E760" s="194" t="s">
        <v>20</v>
      </c>
      <c r="F760" s="194"/>
      <c r="G760" s="194"/>
      <c r="H760" s="195" t="s">
        <v>124</v>
      </c>
      <c r="I760" s="196"/>
      <c r="J760" s="196"/>
      <c r="K760" s="196"/>
      <c r="L760" s="196"/>
      <c r="M760" s="196"/>
      <c r="N760" s="197"/>
      <c r="O760" s="4"/>
    </row>
    <row r="761" spans="1:15" x14ac:dyDescent="0.25">
      <c r="A761" s="198" t="s">
        <v>48</v>
      </c>
      <c r="B761" s="199"/>
      <c r="C761" s="200"/>
      <c r="D761" s="204" t="s">
        <v>49</v>
      </c>
      <c r="E761" s="205"/>
      <c r="F761" s="205"/>
      <c r="G761" s="205"/>
      <c r="H761" s="206"/>
      <c r="I761" s="207" t="s">
        <v>50</v>
      </c>
      <c r="J761" s="207"/>
      <c r="K761" s="207"/>
      <c r="L761" s="207"/>
      <c r="M761" s="207"/>
      <c r="N761" s="207"/>
      <c r="O761" s="4"/>
    </row>
    <row r="762" spans="1:15" ht="30" x14ac:dyDescent="0.25">
      <c r="A762" s="201"/>
      <c r="B762" s="202"/>
      <c r="C762" s="203"/>
      <c r="D762" s="8" t="s">
        <v>51</v>
      </c>
      <c r="E762" s="8" t="s">
        <v>52</v>
      </c>
      <c r="F762" s="8" t="s">
        <v>53</v>
      </c>
      <c r="G762" s="8" t="s">
        <v>54</v>
      </c>
      <c r="H762" s="8" t="s">
        <v>55</v>
      </c>
      <c r="I762" s="33" t="s">
        <v>51</v>
      </c>
      <c r="J762" s="33" t="s">
        <v>52</v>
      </c>
      <c r="K762" s="33" t="s">
        <v>53</v>
      </c>
      <c r="L762" s="33" t="s">
        <v>54</v>
      </c>
      <c r="M762" s="201" t="s">
        <v>56</v>
      </c>
      <c r="N762" s="203"/>
      <c r="O762" s="4"/>
    </row>
    <row r="763" spans="1:15" x14ac:dyDescent="0.25">
      <c r="A763" s="181" t="s">
        <v>2</v>
      </c>
      <c r="B763" s="182"/>
      <c r="C763" s="183"/>
      <c r="D763" s="9" t="s">
        <v>57</v>
      </c>
      <c r="E763" s="9" t="s">
        <v>57</v>
      </c>
      <c r="F763" s="9" t="s">
        <v>57</v>
      </c>
      <c r="G763" s="9" t="s">
        <v>57</v>
      </c>
      <c r="H763" s="9"/>
      <c r="I763" s="15">
        <v>0</v>
      </c>
      <c r="J763" s="15">
        <v>0</v>
      </c>
      <c r="K763" s="15">
        <v>0</v>
      </c>
      <c r="L763" s="15">
        <v>0</v>
      </c>
      <c r="M763" s="190">
        <f>I763+J763+K763+L763</f>
        <v>0</v>
      </c>
      <c r="N763" s="191"/>
      <c r="O763" s="4"/>
    </row>
    <row r="764" spans="1:15" x14ac:dyDescent="0.25">
      <c r="A764" s="181" t="s">
        <v>3</v>
      </c>
      <c r="B764" s="182"/>
      <c r="C764" s="183"/>
      <c r="D764" s="9" t="s">
        <v>57</v>
      </c>
      <c r="E764" s="9" t="s">
        <v>57</v>
      </c>
      <c r="F764" s="9" t="s">
        <v>57</v>
      </c>
      <c r="G764" s="9" t="s">
        <v>57</v>
      </c>
      <c r="H764" s="9"/>
      <c r="I764" s="15">
        <v>0</v>
      </c>
      <c r="J764" s="15">
        <v>0</v>
      </c>
      <c r="K764" s="15">
        <v>0</v>
      </c>
      <c r="L764" s="15">
        <v>0</v>
      </c>
      <c r="M764" s="192">
        <f t="shared" ref="M764:M771" si="32">I764+J764+K764+L764</f>
        <v>0</v>
      </c>
      <c r="N764" s="193"/>
      <c r="O764" s="4"/>
    </row>
    <row r="765" spans="1:15" x14ac:dyDescent="0.25">
      <c r="A765" s="181" t="s">
        <v>4</v>
      </c>
      <c r="B765" s="182"/>
      <c r="C765" s="183"/>
      <c r="D765" s="9" t="s">
        <v>57</v>
      </c>
      <c r="E765" s="9" t="s">
        <v>57</v>
      </c>
      <c r="F765" s="9" t="s">
        <v>57</v>
      </c>
      <c r="G765" s="9" t="s">
        <v>57</v>
      </c>
      <c r="H765" s="9"/>
      <c r="I765" s="15">
        <v>0</v>
      </c>
      <c r="J765" s="15">
        <v>0</v>
      </c>
      <c r="K765" s="15">
        <v>0</v>
      </c>
      <c r="L765" s="15">
        <v>0</v>
      </c>
      <c r="M765" s="192">
        <f t="shared" si="32"/>
        <v>0</v>
      </c>
      <c r="N765" s="193"/>
      <c r="O765" s="4"/>
    </row>
    <row r="766" spans="1:15" x14ac:dyDescent="0.25">
      <c r="A766" s="181" t="s">
        <v>5</v>
      </c>
      <c r="B766" s="182"/>
      <c r="C766" s="183"/>
      <c r="D766" s="9" t="s">
        <v>57</v>
      </c>
      <c r="E766" s="9" t="s">
        <v>57</v>
      </c>
      <c r="F766" s="9" t="s">
        <v>57</v>
      </c>
      <c r="G766" s="9" t="s">
        <v>57</v>
      </c>
      <c r="H766" s="9"/>
      <c r="I766" s="15">
        <v>0</v>
      </c>
      <c r="J766" s="15">
        <v>0</v>
      </c>
      <c r="K766" s="15">
        <v>0</v>
      </c>
      <c r="L766" s="15">
        <v>0</v>
      </c>
      <c r="M766" s="192">
        <f t="shared" si="32"/>
        <v>0</v>
      </c>
      <c r="N766" s="193"/>
      <c r="O766" s="4"/>
    </row>
    <row r="767" spans="1:15" x14ac:dyDescent="0.25">
      <c r="A767" s="181" t="s">
        <v>6</v>
      </c>
      <c r="B767" s="182"/>
      <c r="C767" s="183"/>
      <c r="D767" s="9" t="s">
        <v>57</v>
      </c>
      <c r="E767" s="9" t="s">
        <v>57</v>
      </c>
      <c r="F767" s="9" t="s">
        <v>57</v>
      </c>
      <c r="G767" s="9" t="s">
        <v>57</v>
      </c>
      <c r="H767" s="9"/>
      <c r="I767" s="15">
        <v>0</v>
      </c>
      <c r="J767" s="15">
        <v>0</v>
      </c>
      <c r="K767" s="15">
        <v>0</v>
      </c>
      <c r="L767" s="15">
        <v>0</v>
      </c>
      <c r="M767" s="192">
        <f t="shared" si="32"/>
        <v>0</v>
      </c>
      <c r="N767" s="193"/>
      <c r="O767" s="4"/>
    </row>
    <row r="768" spans="1:15" x14ac:dyDescent="0.25">
      <c r="A768" s="181" t="s">
        <v>8</v>
      </c>
      <c r="B768" s="182"/>
      <c r="C768" s="183"/>
      <c r="D768" s="9" t="s">
        <v>57</v>
      </c>
      <c r="E768" s="9" t="s">
        <v>57</v>
      </c>
      <c r="F768" s="9" t="s">
        <v>57</v>
      </c>
      <c r="G768" s="9" t="s">
        <v>57</v>
      </c>
      <c r="H768" s="9"/>
      <c r="I768" s="15">
        <v>0</v>
      </c>
      <c r="J768" s="15">
        <v>0</v>
      </c>
      <c r="K768" s="15">
        <v>0</v>
      </c>
      <c r="L768" s="15">
        <v>0</v>
      </c>
      <c r="M768" s="192">
        <f t="shared" si="32"/>
        <v>0</v>
      </c>
      <c r="N768" s="193"/>
      <c r="O768" s="4"/>
    </row>
    <row r="769" spans="1:15" x14ac:dyDescent="0.25">
      <c r="A769" s="181" t="s">
        <v>38</v>
      </c>
      <c r="B769" s="182"/>
      <c r="C769" s="183"/>
      <c r="D769" s="9" t="s">
        <v>57</v>
      </c>
      <c r="E769" s="9" t="s">
        <v>57</v>
      </c>
      <c r="F769" s="9" t="s">
        <v>57</v>
      </c>
      <c r="G769" s="9" t="s">
        <v>57</v>
      </c>
      <c r="H769" s="9"/>
      <c r="I769" s="15">
        <v>0</v>
      </c>
      <c r="J769" s="15">
        <v>0</v>
      </c>
      <c r="K769" s="15">
        <v>0</v>
      </c>
      <c r="L769" s="15">
        <v>0</v>
      </c>
      <c r="M769" s="192">
        <f t="shared" si="32"/>
        <v>0</v>
      </c>
      <c r="N769" s="193"/>
      <c r="O769" s="4"/>
    </row>
    <row r="770" spans="1:15" x14ac:dyDescent="0.25">
      <c r="A770" s="181" t="s">
        <v>7</v>
      </c>
      <c r="B770" s="182"/>
      <c r="C770" s="183"/>
      <c r="D770" s="9" t="s">
        <v>57</v>
      </c>
      <c r="E770" s="9" t="s">
        <v>57</v>
      </c>
      <c r="F770" s="9" t="s">
        <v>57</v>
      </c>
      <c r="G770" s="9" t="s">
        <v>57</v>
      </c>
      <c r="H770" s="9"/>
      <c r="I770" s="15">
        <v>0</v>
      </c>
      <c r="J770" s="15">
        <v>0</v>
      </c>
      <c r="K770" s="15">
        <v>0</v>
      </c>
      <c r="L770" s="15">
        <v>0</v>
      </c>
      <c r="M770" s="192">
        <f t="shared" si="32"/>
        <v>0</v>
      </c>
      <c r="N770" s="193"/>
      <c r="O770" s="4"/>
    </row>
    <row r="771" spans="1:15" x14ac:dyDescent="0.25">
      <c r="A771" s="181" t="s">
        <v>90</v>
      </c>
      <c r="B771" s="182"/>
      <c r="C771" s="183"/>
      <c r="D771" s="9" t="s">
        <v>57</v>
      </c>
      <c r="E771" s="9" t="s">
        <v>57</v>
      </c>
      <c r="F771" s="9" t="s">
        <v>57</v>
      </c>
      <c r="G771" s="9" t="s">
        <v>57</v>
      </c>
      <c r="H771" s="9"/>
      <c r="I771" s="15">
        <v>0</v>
      </c>
      <c r="J771" s="15">
        <v>0</v>
      </c>
      <c r="K771" s="15">
        <v>0</v>
      </c>
      <c r="L771" s="15">
        <v>0</v>
      </c>
      <c r="M771" s="188">
        <f t="shared" si="32"/>
        <v>0</v>
      </c>
      <c r="N771" s="189"/>
      <c r="O771" s="4"/>
    </row>
    <row r="772" spans="1:15" x14ac:dyDescent="0.25">
      <c r="O772" s="4"/>
    </row>
    <row r="773" spans="1:15" ht="15.75" x14ac:dyDescent="0.25">
      <c r="A773" s="177" t="s">
        <v>58</v>
      </c>
      <c r="B773" s="177"/>
      <c r="C773" s="177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4"/>
    </row>
    <row r="774" spans="1:15" x14ac:dyDescent="0.25">
      <c r="A774" s="178"/>
      <c r="B774" s="179"/>
      <c r="C774" s="179"/>
      <c r="D774" s="179"/>
      <c r="E774" s="179"/>
      <c r="F774" s="179"/>
      <c r="G774" s="179"/>
      <c r="H774" s="179"/>
      <c r="I774" s="179"/>
      <c r="J774" s="179"/>
      <c r="K774" s="179"/>
      <c r="L774" s="179"/>
      <c r="M774" s="179"/>
      <c r="N774" s="180"/>
      <c r="O774" s="10">
        <f>A774</f>
        <v>0</v>
      </c>
    </row>
    <row r="775" spans="1:15" x14ac:dyDescent="0.25">
      <c r="A775" s="174" t="s">
        <v>59</v>
      </c>
      <c r="B775" s="174"/>
      <c r="C775" s="174"/>
      <c r="D775" s="174"/>
      <c r="E775" s="174"/>
      <c r="F775" s="174"/>
      <c r="G775" s="174"/>
      <c r="H775" s="174"/>
      <c r="I775" s="174"/>
      <c r="J775" s="174"/>
      <c r="K775" s="174"/>
      <c r="L775" s="174"/>
      <c r="M775" s="174"/>
      <c r="N775" s="174"/>
      <c r="O775" s="10"/>
    </row>
    <row r="776" spans="1:15" x14ac:dyDescent="0.25">
      <c r="A776" s="178"/>
      <c r="B776" s="179"/>
      <c r="C776" s="179"/>
      <c r="D776" s="179"/>
      <c r="E776" s="179"/>
      <c r="F776" s="179"/>
      <c r="G776" s="179"/>
      <c r="H776" s="179"/>
      <c r="I776" s="179"/>
      <c r="J776" s="179"/>
      <c r="K776" s="179"/>
      <c r="L776" s="179"/>
      <c r="M776" s="179"/>
      <c r="N776" s="180"/>
      <c r="O776" s="10">
        <f t="shared" ref="O776:O797" si="33">A776</f>
        <v>0</v>
      </c>
    </row>
    <row r="777" spans="1:15" x14ac:dyDescent="0.25">
      <c r="A777" s="176" t="s">
        <v>60</v>
      </c>
      <c r="B777" s="176"/>
      <c r="C777" s="176"/>
      <c r="D777" s="176"/>
      <c r="E777" s="176"/>
      <c r="F777" s="176"/>
      <c r="G777" s="176"/>
      <c r="H777" s="176"/>
      <c r="I777" s="176"/>
      <c r="J777" s="176"/>
      <c r="K777" s="176"/>
      <c r="L777" s="176"/>
      <c r="M777" s="176" t="s">
        <v>61</v>
      </c>
      <c r="N777" s="176"/>
      <c r="O777" s="10"/>
    </row>
    <row r="778" spans="1:15" x14ac:dyDescent="0.25">
      <c r="A778" s="176" t="s">
        <v>62</v>
      </c>
      <c r="B778" s="176"/>
      <c r="C778" s="176"/>
      <c r="D778" s="176"/>
      <c r="E778" s="176"/>
      <c r="F778" s="176"/>
      <c r="G778" s="176"/>
      <c r="H778" s="176"/>
      <c r="I778" s="176"/>
      <c r="J778" s="176"/>
      <c r="K778" s="176"/>
      <c r="L778" s="176"/>
      <c r="M778" s="176" t="s">
        <v>61</v>
      </c>
      <c r="N778" s="176"/>
      <c r="O778" s="10"/>
    </row>
    <row r="779" spans="1:15" x14ac:dyDescent="0.25">
      <c r="O779" s="10"/>
    </row>
    <row r="780" spans="1:15" ht="15.75" x14ac:dyDescent="0.25">
      <c r="A780" s="184" t="s">
        <v>63</v>
      </c>
      <c r="B780" s="185"/>
      <c r="C780" s="185"/>
      <c r="D780" s="185"/>
      <c r="E780" s="185"/>
      <c r="F780" s="185"/>
      <c r="G780" s="185"/>
      <c r="H780" s="185"/>
      <c r="I780" s="185"/>
      <c r="J780" s="185"/>
      <c r="K780" s="185"/>
      <c r="L780" s="185"/>
      <c r="M780" s="185"/>
      <c r="N780" s="186"/>
      <c r="O780" s="10"/>
    </row>
    <row r="781" spans="1:15" x14ac:dyDescent="0.25">
      <c r="A781" s="178"/>
      <c r="B781" s="179"/>
      <c r="C781" s="179"/>
      <c r="D781" s="179"/>
      <c r="E781" s="179"/>
      <c r="F781" s="179"/>
      <c r="G781" s="179"/>
      <c r="H781" s="179"/>
      <c r="I781" s="179"/>
      <c r="J781" s="179"/>
      <c r="K781" s="179"/>
      <c r="L781" s="179"/>
      <c r="M781" s="179"/>
      <c r="N781" s="179"/>
      <c r="O781" s="10">
        <f t="shared" si="33"/>
        <v>0</v>
      </c>
    </row>
    <row r="782" spans="1:15" x14ac:dyDescent="0.25">
      <c r="A782" s="174" t="s">
        <v>64</v>
      </c>
      <c r="B782" s="174"/>
      <c r="C782" s="174"/>
      <c r="D782" s="174"/>
      <c r="E782" s="174"/>
      <c r="F782" s="174"/>
      <c r="G782" s="174"/>
      <c r="H782" s="174"/>
      <c r="I782" s="174"/>
      <c r="J782" s="174"/>
      <c r="K782" s="174"/>
      <c r="L782" s="174"/>
      <c r="M782" s="174"/>
      <c r="N782" s="174"/>
      <c r="O782" s="10"/>
    </row>
    <row r="783" spans="1:15" x14ac:dyDescent="0.25">
      <c r="A783" s="178"/>
      <c r="B783" s="179"/>
      <c r="C783" s="179"/>
      <c r="D783" s="179"/>
      <c r="E783" s="179"/>
      <c r="F783" s="179"/>
      <c r="G783" s="179"/>
      <c r="H783" s="179"/>
      <c r="I783" s="179"/>
      <c r="J783" s="179"/>
      <c r="K783" s="179"/>
      <c r="L783" s="179"/>
      <c r="M783" s="179"/>
      <c r="N783" s="180"/>
      <c r="O783" s="10">
        <f t="shared" si="33"/>
        <v>0</v>
      </c>
    </row>
    <row r="784" spans="1:15" x14ac:dyDescent="0.25">
      <c r="A784" s="176" t="s">
        <v>60</v>
      </c>
      <c r="B784" s="176"/>
      <c r="C784" s="176"/>
      <c r="D784" s="176"/>
      <c r="E784" s="176"/>
      <c r="F784" s="176"/>
      <c r="G784" s="176"/>
      <c r="H784" s="176"/>
      <c r="I784" s="176"/>
      <c r="J784" s="176"/>
      <c r="K784" s="176"/>
      <c r="L784" s="176"/>
      <c r="M784" s="176" t="s">
        <v>61</v>
      </c>
      <c r="N784" s="176"/>
      <c r="O784" s="10"/>
    </row>
    <row r="785" spans="1:15" x14ac:dyDescent="0.25">
      <c r="A785" s="176" t="s">
        <v>62</v>
      </c>
      <c r="B785" s="176"/>
      <c r="C785" s="176"/>
      <c r="D785" s="176"/>
      <c r="E785" s="176"/>
      <c r="F785" s="176"/>
      <c r="G785" s="176"/>
      <c r="H785" s="176"/>
      <c r="I785" s="176"/>
      <c r="J785" s="176"/>
      <c r="K785" s="176"/>
      <c r="L785" s="176"/>
      <c r="M785" s="176" t="s">
        <v>61</v>
      </c>
      <c r="N785" s="176"/>
      <c r="O785" s="10"/>
    </row>
    <row r="786" spans="1:15" x14ac:dyDescent="0.25">
      <c r="O786" s="10"/>
    </row>
    <row r="787" spans="1:15" ht="15.75" x14ac:dyDescent="0.25">
      <c r="A787" s="177" t="s">
        <v>65</v>
      </c>
      <c r="B787" s="177"/>
      <c r="C787" s="177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0"/>
    </row>
    <row r="788" spans="1:15" x14ac:dyDescent="0.25">
      <c r="A788" s="178"/>
      <c r="B788" s="179"/>
      <c r="C788" s="179"/>
      <c r="D788" s="179"/>
      <c r="E788" s="179"/>
      <c r="F788" s="179"/>
      <c r="G788" s="179"/>
      <c r="H788" s="179"/>
      <c r="I788" s="179"/>
      <c r="J788" s="179"/>
      <c r="K788" s="179"/>
      <c r="L788" s="179"/>
      <c r="M788" s="179"/>
      <c r="N788" s="180"/>
      <c r="O788" s="10">
        <f t="shared" si="33"/>
        <v>0</v>
      </c>
    </row>
    <row r="789" spans="1:15" x14ac:dyDescent="0.25">
      <c r="A789" s="174" t="s">
        <v>66</v>
      </c>
      <c r="B789" s="174"/>
      <c r="C789" s="174"/>
      <c r="D789" s="174"/>
      <c r="E789" s="174"/>
      <c r="F789" s="174"/>
      <c r="G789" s="174"/>
      <c r="H789" s="174"/>
      <c r="I789" s="174"/>
      <c r="J789" s="174"/>
      <c r="K789" s="174"/>
      <c r="L789" s="174"/>
      <c r="M789" s="174"/>
      <c r="N789" s="174"/>
      <c r="O789" s="10"/>
    </row>
    <row r="790" spans="1:15" x14ac:dyDescent="0.25">
      <c r="A790" s="178"/>
      <c r="B790" s="179"/>
      <c r="C790" s="179"/>
      <c r="D790" s="179"/>
      <c r="E790" s="179"/>
      <c r="F790" s="179"/>
      <c r="G790" s="179"/>
      <c r="H790" s="179"/>
      <c r="I790" s="179"/>
      <c r="J790" s="179"/>
      <c r="K790" s="179"/>
      <c r="L790" s="179"/>
      <c r="M790" s="179"/>
      <c r="N790" s="180"/>
      <c r="O790" s="10">
        <f t="shared" si="33"/>
        <v>0</v>
      </c>
    </row>
    <row r="791" spans="1:15" x14ac:dyDescent="0.25">
      <c r="A791" s="187" t="s">
        <v>60</v>
      </c>
      <c r="B791" s="187"/>
      <c r="C791" s="187"/>
      <c r="D791" s="187"/>
      <c r="E791" s="187"/>
      <c r="F791" s="187"/>
      <c r="G791" s="187"/>
      <c r="H791" s="187"/>
      <c r="I791" s="187"/>
      <c r="J791" s="187"/>
      <c r="K791" s="187"/>
      <c r="L791" s="187"/>
      <c r="M791" s="176" t="s">
        <v>61</v>
      </c>
      <c r="N791" s="176"/>
      <c r="O791" s="10"/>
    </row>
    <row r="792" spans="1:15" x14ac:dyDescent="0.25">
      <c r="A792" s="187" t="s">
        <v>62</v>
      </c>
      <c r="B792" s="187"/>
      <c r="C792" s="187"/>
      <c r="D792" s="187"/>
      <c r="E792" s="187"/>
      <c r="F792" s="187"/>
      <c r="G792" s="187"/>
      <c r="H792" s="187"/>
      <c r="I792" s="187"/>
      <c r="J792" s="187"/>
      <c r="K792" s="187"/>
      <c r="L792" s="187"/>
      <c r="M792" s="176" t="s">
        <v>61</v>
      </c>
      <c r="N792" s="176"/>
      <c r="O792" s="10"/>
    </row>
    <row r="793" spans="1:15" x14ac:dyDescent="0.25">
      <c r="O793" s="10"/>
    </row>
    <row r="794" spans="1:15" ht="15.75" x14ac:dyDescent="0.25">
      <c r="A794" s="184" t="s">
        <v>67</v>
      </c>
      <c r="B794" s="185"/>
      <c r="C794" s="185"/>
      <c r="D794" s="185"/>
      <c r="E794" s="185"/>
      <c r="F794" s="185"/>
      <c r="G794" s="185"/>
      <c r="H794" s="185"/>
      <c r="I794" s="185"/>
      <c r="J794" s="185"/>
      <c r="K794" s="185"/>
      <c r="L794" s="185"/>
      <c r="M794" s="185"/>
      <c r="N794" s="186"/>
      <c r="O794" s="10"/>
    </row>
    <row r="795" spans="1:15" x14ac:dyDescent="0.25">
      <c r="A795" s="178"/>
      <c r="B795" s="179"/>
      <c r="C795" s="179"/>
      <c r="D795" s="179"/>
      <c r="E795" s="179"/>
      <c r="F795" s="179"/>
      <c r="G795" s="179"/>
      <c r="H795" s="179"/>
      <c r="I795" s="179"/>
      <c r="J795" s="179"/>
      <c r="K795" s="179"/>
      <c r="L795" s="179"/>
      <c r="M795" s="179"/>
      <c r="N795" s="180"/>
      <c r="O795" s="10">
        <f t="shared" si="33"/>
        <v>0</v>
      </c>
    </row>
    <row r="796" spans="1:15" x14ac:dyDescent="0.25">
      <c r="A796" s="174" t="s">
        <v>68</v>
      </c>
      <c r="B796" s="174"/>
      <c r="C796" s="174"/>
      <c r="D796" s="174"/>
      <c r="E796" s="174"/>
      <c r="F796" s="174"/>
      <c r="G796" s="174"/>
      <c r="H796" s="174"/>
      <c r="I796" s="174"/>
      <c r="J796" s="174"/>
      <c r="K796" s="174"/>
      <c r="L796" s="174"/>
      <c r="M796" s="174"/>
      <c r="N796" s="174"/>
      <c r="O796" s="10"/>
    </row>
    <row r="797" spans="1:15" x14ac:dyDescent="0.25">
      <c r="A797" s="178"/>
      <c r="B797" s="179"/>
      <c r="C797" s="179"/>
      <c r="D797" s="179"/>
      <c r="E797" s="179"/>
      <c r="F797" s="179"/>
      <c r="G797" s="179"/>
      <c r="H797" s="179"/>
      <c r="I797" s="179"/>
      <c r="J797" s="179"/>
      <c r="K797" s="179"/>
      <c r="L797" s="179"/>
      <c r="M797" s="179"/>
      <c r="N797" s="180"/>
      <c r="O797" s="10">
        <f t="shared" si="33"/>
        <v>0</v>
      </c>
    </row>
    <row r="798" spans="1:15" x14ac:dyDescent="0.25">
      <c r="A798" s="176" t="s">
        <v>60</v>
      </c>
      <c r="B798" s="176"/>
      <c r="C798" s="176"/>
      <c r="D798" s="176"/>
      <c r="E798" s="176"/>
      <c r="F798" s="176"/>
      <c r="G798" s="176"/>
      <c r="H798" s="176"/>
      <c r="I798" s="176"/>
      <c r="J798" s="176"/>
      <c r="K798" s="176"/>
      <c r="L798" s="176"/>
      <c r="M798" s="176" t="s">
        <v>61</v>
      </c>
      <c r="N798" s="176"/>
      <c r="O798" s="10"/>
    </row>
    <row r="799" spans="1:15" x14ac:dyDescent="0.25">
      <c r="A799" s="176" t="s">
        <v>62</v>
      </c>
      <c r="B799" s="176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 t="s">
        <v>61</v>
      </c>
      <c r="N799" s="176"/>
      <c r="O799" s="10"/>
    </row>
    <row r="800" spans="1:15" x14ac:dyDescent="0.25">
      <c r="A800" s="209" t="s">
        <v>91</v>
      </c>
      <c r="B800" s="209"/>
      <c r="C800" s="209"/>
      <c r="D800" s="209"/>
      <c r="E800" s="209"/>
      <c r="F800" s="209"/>
      <c r="G800" s="209"/>
      <c r="H800" s="209"/>
      <c r="I800" s="209"/>
      <c r="J800" s="209"/>
      <c r="K800" s="209"/>
      <c r="L800" s="209"/>
      <c r="M800" s="209"/>
      <c r="N800" s="209"/>
      <c r="O800" s="4"/>
    </row>
    <row r="801" spans="1:15" x14ac:dyDescent="0.25">
      <c r="A801" s="209" t="s">
        <v>89</v>
      </c>
      <c r="B801" s="209"/>
      <c r="C801" s="209"/>
      <c r="D801" s="209"/>
      <c r="E801" s="209"/>
      <c r="F801" s="209"/>
      <c r="G801" s="209"/>
      <c r="H801" s="209"/>
      <c r="I801" s="209"/>
      <c r="J801" s="209"/>
      <c r="K801" s="209"/>
      <c r="L801" s="209"/>
      <c r="M801" s="209"/>
      <c r="N801" s="209"/>
      <c r="O801" s="4"/>
    </row>
    <row r="802" spans="1:15" x14ac:dyDescent="0.25">
      <c r="A802" s="209" t="s">
        <v>44</v>
      </c>
      <c r="B802" s="209"/>
      <c r="C802" s="209"/>
      <c r="D802" s="209"/>
      <c r="E802" s="209"/>
      <c r="F802" s="209"/>
      <c r="G802" s="209"/>
      <c r="H802" s="209"/>
      <c r="I802" s="209"/>
      <c r="J802" s="209"/>
      <c r="K802" s="209"/>
      <c r="L802" s="209"/>
      <c r="M802" s="209"/>
      <c r="N802" s="209"/>
      <c r="O802" s="4"/>
    </row>
    <row r="803" spans="1:15" ht="15.75" x14ac:dyDescent="0.25">
      <c r="A803" s="210" t="s">
        <v>72</v>
      </c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0"/>
      <c r="M803" s="210"/>
      <c r="N803" s="210"/>
      <c r="O803" s="4"/>
    </row>
    <row r="804" spans="1:15" ht="15.75" x14ac:dyDescent="0.25">
      <c r="A804" s="211" t="s">
        <v>125</v>
      </c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211"/>
      <c r="N804" s="211"/>
      <c r="O804" s="4"/>
    </row>
    <row r="805" spans="1:15" ht="15.75" x14ac:dyDescent="0.25">
      <c r="A805" s="5" t="s">
        <v>46</v>
      </c>
      <c r="B805" s="208" t="s">
        <v>123</v>
      </c>
      <c r="C805" s="208"/>
      <c r="D805" s="208"/>
      <c r="E805" s="208"/>
      <c r="F805" s="208"/>
      <c r="G805" s="208"/>
      <c r="H805" s="208"/>
      <c r="I805" s="208"/>
      <c r="J805" s="208"/>
      <c r="K805" s="208"/>
      <c r="L805" s="208"/>
      <c r="M805" s="208"/>
      <c r="N805" s="208"/>
      <c r="O805" s="4"/>
    </row>
    <row r="806" spans="1:15" ht="15.75" x14ac:dyDescent="0.25">
      <c r="A806" s="5" t="s">
        <v>47</v>
      </c>
      <c r="B806" s="175" t="s">
        <v>110</v>
      </c>
      <c r="C806" s="175"/>
      <c r="D806" s="175"/>
      <c r="E806" s="175"/>
      <c r="F806" s="175"/>
      <c r="G806" s="175"/>
      <c r="H806" s="175"/>
      <c r="I806" s="175"/>
      <c r="J806" s="175"/>
      <c r="K806" s="175"/>
      <c r="L806" s="174" t="s">
        <v>74</v>
      </c>
      <c r="M806" s="174"/>
      <c r="N806" s="34">
        <v>14771.84237982509</v>
      </c>
      <c r="O806" s="4"/>
    </row>
    <row r="807" spans="1:15" x14ac:dyDescent="0.25">
      <c r="A807" s="6" t="s">
        <v>21</v>
      </c>
      <c r="B807" s="7" t="s">
        <v>92</v>
      </c>
      <c r="C807" s="6" t="s">
        <v>22</v>
      </c>
      <c r="D807" s="7">
        <v>2020</v>
      </c>
      <c r="E807" s="194" t="s">
        <v>20</v>
      </c>
      <c r="F807" s="194"/>
      <c r="G807" s="194"/>
      <c r="H807" s="195" t="s">
        <v>124</v>
      </c>
      <c r="I807" s="196"/>
      <c r="J807" s="196"/>
      <c r="K807" s="196"/>
      <c r="L807" s="196"/>
      <c r="M807" s="196"/>
      <c r="N807" s="197"/>
      <c r="O807" s="4"/>
    </row>
    <row r="808" spans="1:15" x14ac:dyDescent="0.25">
      <c r="A808" s="198" t="s">
        <v>48</v>
      </c>
      <c r="B808" s="199"/>
      <c r="C808" s="200"/>
      <c r="D808" s="204" t="s">
        <v>49</v>
      </c>
      <c r="E808" s="205"/>
      <c r="F808" s="205"/>
      <c r="G808" s="205"/>
      <c r="H808" s="206"/>
      <c r="I808" s="207" t="s">
        <v>50</v>
      </c>
      <c r="J808" s="207"/>
      <c r="K808" s="207"/>
      <c r="L808" s="207"/>
      <c r="M808" s="207"/>
      <c r="N808" s="207"/>
      <c r="O808" s="4"/>
    </row>
    <row r="809" spans="1:15" ht="30" x14ac:dyDescent="0.25">
      <c r="A809" s="201"/>
      <c r="B809" s="202"/>
      <c r="C809" s="203"/>
      <c r="D809" s="8" t="s">
        <v>51</v>
      </c>
      <c r="E809" s="8" t="s">
        <v>52</v>
      </c>
      <c r="F809" s="8" t="s">
        <v>53</v>
      </c>
      <c r="G809" s="8" t="s">
        <v>54</v>
      </c>
      <c r="H809" s="8" t="s">
        <v>55</v>
      </c>
      <c r="I809" s="33" t="s">
        <v>51</v>
      </c>
      <c r="J809" s="33" t="s">
        <v>52</v>
      </c>
      <c r="K809" s="33" t="s">
        <v>53</v>
      </c>
      <c r="L809" s="33" t="s">
        <v>54</v>
      </c>
      <c r="M809" s="201" t="s">
        <v>56</v>
      </c>
      <c r="N809" s="203"/>
      <c r="O809" s="4"/>
    </row>
    <row r="810" spans="1:15" x14ac:dyDescent="0.25">
      <c r="A810" s="181" t="s">
        <v>2</v>
      </c>
      <c r="B810" s="182"/>
      <c r="C810" s="183"/>
      <c r="D810" s="9" t="s">
        <v>57</v>
      </c>
      <c r="E810" s="9" t="s">
        <v>57</v>
      </c>
      <c r="F810" s="9" t="s">
        <v>57</v>
      </c>
      <c r="G810" s="9" t="s">
        <v>57</v>
      </c>
      <c r="H810" s="9"/>
      <c r="I810" s="15">
        <v>0</v>
      </c>
      <c r="J810" s="15">
        <v>0</v>
      </c>
      <c r="K810" s="15">
        <v>0</v>
      </c>
      <c r="L810" s="15">
        <v>0</v>
      </c>
      <c r="M810" s="190">
        <f>I810+J810+K810+L810</f>
        <v>0</v>
      </c>
      <c r="N810" s="191"/>
      <c r="O810" s="4"/>
    </row>
    <row r="811" spans="1:15" x14ac:dyDescent="0.25">
      <c r="A811" s="181" t="s">
        <v>3</v>
      </c>
      <c r="B811" s="182"/>
      <c r="C811" s="183"/>
      <c r="D811" s="9" t="s">
        <v>57</v>
      </c>
      <c r="E811" s="9" t="s">
        <v>57</v>
      </c>
      <c r="F811" s="9" t="s">
        <v>57</v>
      </c>
      <c r="G811" s="9" t="s">
        <v>57</v>
      </c>
      <c r="H811" s="9"/>
      <c r="I811" s="15">
        <v>0</v>
      </c>
      <c r="J811" s="15">
        <v>0</v>
      </c>
      <c r="K811" s="15">
        <v>0</v>
      </c>
      <c r="L811" s="15">
        <v>0</v>
      </c>
      <c r="M811" s="192">
        <f t="shared" ref="M811:M818" si="34">I811+J811+K811+L811</f>
        <v>0</v>
      </c>
      <c r="N811" s="193"/>
      <c r="O811" s="4"/>
    </row>
    <row r="812" spans="1:15" x14ac:dyDescent="0.25">
      <c r="A812" s="181" t="s">
        <v>4</v>
      </c>
      <c r="B812" s="182"/>
      <c r="C812" s="183"/>
      <c r="D812" s="9" t="s">
        <v>57</v>
      </c>
      <c r="E812" s="9" t="s">
        <v>57</v>
      </c>
      <c r="F812" s="9" t="s">
        <v>57</v>
      </c>
      <c r="G812" s="9" t="s">
        <v>57</v>
      </c>
      <c r="H812" s="9"/>
      <c r="I812" s="15">
        <v>0</v>
      </c>
      <c r="J812" s="15">
        <v>0</v>
      </c>
      <c r="K812" s="15">
        <v>0</v>
      </c>
      <c r="L812" s="15">
        <v>0</v>
      </c>
      <c r="M812" s="192">
        <f t="shared" si="34"/>
        <v>0</v>
      </c>
      <c r="N812" s="193"/>
      <c r="O812" s="4"/>
    </row>
    <row r="813" spans="1:15" x14ac:dyDescent="0.25">
      <c r="A813" s="181" t="s">
        <v>5</v>
      </c>
      <c r="B813" s="182"/>
      <c r="C813" s="183"/>
      <c r="D813" s="9" t="s">
        <v>57</v>
      </c>
      <c r="E813" s="9" t="s">
        <v>57</v>
      </c>
      <c r="F813" s="9" t="s">
        <v>57</v>
      </c>
      <c r="G813" s="9" t="s">
        <v>57</v>
      </c>
      <c r="H813" s="9"/>
      <c r="I813" s="15">
        <v>0</v>
      </c>
      <c r="J813" s="15">
        <v>0</v>
      </c>
      <c r="K813" s="15">
        <v>0</v>
      </c>
      <c r="L813" s="15">
        <v>0</v>
      </c>
      <c r="M813" s="192">
        <f t="shared" si="34"/>
        <v>0</v>
      </c>
      <c r="N813" s="193"/>
      <c r="O813" s="4"/>
    </row>
    <row r="814" spans="1:15" x14ac:dyDescent="0.25">
      <c r="A814" s="181" t="s">
        <v>6</v>
      </c>
      <c r="B814" s="182"/>
      <c r="C814" s="183"/>
      <c r="D814" s="9" t="s">
        <v>57</v>
      </c>
      <c r="E814" s="9" t="s">
        <v>57</v>
      </c>
      <c r="F814" s="9" t="s">
        <v>57</v>
      </c>
      <c r="G814" s="9" t="s">
        <v>57</v>
      </c>
      <c r="H814" s="9"/>
      <c r="I814" s="15">
        <v>0</v>
      </c>
      <c r="J814" s="15">
        <v>0</v>
      </c>
      <c r="K814" s="15">
        <v>0</v>
      </c>
      <c r="L814" s="15">
        <v>0</v>
      </c>
      <c r="M814" s="192">
        <f t="shared" si="34"/>
        <v>0</v>
      </c>
      <c r="N814" s="193"/>
      <c r="O814" s="4"/>
    </row>
    <row r="815" spans="1:15" x14ac:dyDescent="0.25">
      <c r="A815" s="181" t="s">
        <v>8</v>
      </c>
      <c r="B815" s="182"/>
      <c r="C815" s="183"/>
      <c r="D815" s="9" t="s">
        <v>57</v>
      </c>
      <c r="E815" s="9" t="s">
        <v>57</v>
      </c>
      <c r="F815" s="9" t="s">
        <v>57</v>
      </c>
      <c r="G815" s="9" t="s">
        <v>57</v>
      </c>
      <c r="H815" s="9"/>
      <c r="I815" s="15">
        <v>0</v>
      </c>
      <c r="J815" s="15">
        <v>0</v>
      </c>
      <c r="K815" s="15">
        <v>0</v>
      </c>
      <c r="L815" s="15">
        <v>0</v>
      </c>
      <c r="M815" s="192">
        <f t="shared" si="34"/>
        <v>0</v>
      </c>
      <c r="N815" s="193"/>
      <c r="O815" s="4"/>
    </row>
    <row r="816" spans="1:15" x14ac:dyDescent="0.25">
      <c r="A816" s="181" t="s">
        <v>38</v>
      </c>
      <c r="B816" s="182"/>
      <c r="C816" s="183"/>
      <c r="D816" s="9" t="s">
        <v>57</v>
      </c>
      <c r="E816" s="9" t="s">
        <v>57</v>
      </c>
      <c r="F816" s="9" t="s">
        <v>57</v>
      </c>
      <c r="G816" s="9" t="s">
        <v>57</v>
      </c>
      <c r="H816" s="9"/>
      <c r="I816" s="15">
        <v>0</v>
      </c>
      <c r="J816" s="15">
        <v>0</v>
      </c>
      <c r="K816" s="15">
        <v>0</v>
      </c>
      <c r="L816" s="15">
        <v>0</v>
      </c>
      <c r="M816" s="192">
        <f t="shared" si="34"/>
        <v>0</v>
      </c>
      <c r="N816" s="193"/>
      <c r="O816" s="4"/>
    </row>
    <row r="817" spans="1:15" x14ac:dyDescent="0.25">
      <c r="A817" s="181" t="s">
        <v>7</v>
      </c>
      <c r="B817" s="182"/>
      <c r="C817" s="183"/>
      <c r="D817" s="9" t="s">
        <v>57</v>
      </c>
      <c r="E817" s="9" t="s">
        <v>57</v>
      </c>
      <c r="F817" s="9" t="s">
        <v>57</v>
      </c>
      <c r="G817" s="9" t="s">
        <v>57</v>
      </c>
      <c r="H817" s="9"/>
      <c r="I817" s="15">
        <v>0</v>
      </c>
      <c r="J817" s="15">
        <v>0</v>
      </c>
      <c r="K817" s="15">
        <v>0</v>
      </c>
      <c r="L817" s="15">
        <v>0</v>
      </c>
      <c r="M817" s="192">
        <f t="shared" si="34"/>
        <v>0</v>
      </c>
      <c r="N817" s="193"/>
      <c r="O817" s="4"/>
    </row>
    <row r="818" spans="1:15" x14ac:dyDescent="0.25">
      <c r="A818" s="181" t="s">
        <v>90</v>
      </c>
      <c r="B818" s="182"/>
      <c r="C818" s="183"/>
      <c r="D818" s="9" t="s">
        <v>57</v>
      </c>
      <c r="E818" s="9" t="s">
        <v>57</v>
      </c>
      <c r="F818" s="9" t="s">
        <v>57</v>
      </c>
      <c r="G818" s="9" t="s">
        <v>57</v>
      </c>
      <c r="H818" s="9"/>
      <c r="I818" s="15">
        <v>0</v>
      </c>
      <c r="J818" s="15">
        <v>0</v>
      </c>
      <c r="K818" s="15">
        <v>0</v>
      </c>
      <c r="L818" s="15">
        <v>0</v>
      </c>
      <c r="M818" s="188">
        <f t="shared" si="34"/>
        <v>0</v>
      </c>
      <c r="N818" s="189"/>
      <c r="O818" s="4"/>
    </row>
    <row r="819" spans="1:15" x14ac:dyDescent="0.25">
      <c r="O819" s="4"/>
    </row>
    <row r="820" spans="1:15" ht="15.75" x14ac:dyDescent="0.25">
      <c r="A820" s="177" t="s">
        <v>58</v>
      </c>
      <c r="B820" s="177"/>
      <c r="C820" s="177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4"/>
    </row>
    <row r="821" spans="1:15" x14ac:dyDescent="0.25">
      <c r="A821" s="178"/>
      <c r="B821" s="179"/>
      <c r="C821" s="179"/>
      <c r="D821" s="179"/>
      <c r="E821" s="179"/>
      <c r="F821" s="179"/>
      <c r="G821" s="179"/>
      <c r="H821" s="179"/>
      <c r="I821" s="179"/>
      <c r="J821" s="179"/>
      <c r="K821" s="179"/>
      <c r="L821" s="179"/>
      <c r="M821" s="179"/>
      <c r="N821" s="180"/>
      <c r="O821" s="10">
        <f>A821</f>
        <v>0</v>
      </c>
    </row>
    <row r="822" spans="1:15" x14ac:dyDescent="0.25">
      <c r="A822" s="174" t="s">
        <v>59</v>
      </c>
      <c r="B822" s="174"/>
      <c r="C822" s="174"/>
      <c r="D822" s="174"/>
      <c r="E822" s="174"/>
      <c r="F822" s="174"/>
      <c r="G822" s="174"/>
      <c r="H822" s="174"/>
      <c r="I822" s="174"/>
      <c r="J822" s="174"/>
      <c r="K822" s="174"/>
      <c r="L822" s="174"/>
      <c r="M822" s="174"/>
      <c r="N822" s="174"/>
      <c r="O822" s="10"/>
    </row>
    <row r="823" spans="1:15" x14ac:dyDescent="0.25">
      <c r="A823" s="178"/>
      <c r="B823" s="179"/>
      <c r="C823" s="179"/>
      <c r="D823" s="179"/>
      <c r="E823" s="179"/>
      <c r="F823" s="179"/>
      <c r="G823" s="179"/>
      <c r="H823" s="179"/>
      <c r="I823" s="179"/>
      <c r="J823" s="179"/>
      <c r="K823" s="179"/>
      <c r="L823" s="179"/>
      <c r="M823" s="179"/>
      <c r="N823" s="180"/>
      <c r="O823" s="10">
        <f t="shared" ref="O823:O844" si="35">A823</f>
        <v>0</v>
      </c>
    </row>
    <row r="824" spans="1:15" x14ac:dyDescent="0.25">
      <c r="A824" s="176" t="s">
        <v>60</v>
      </c>
      <c r="B824" s="176"/>
      <c r="C824" s="176"/>
      <c r="D824" s="176"/>
      <c r="E824" s="176"/>
      <c r="F824" s="176"/>
      <c r="G824" s="176"/>
      <c r="H824" s="176"/>
      <c r="I824" s="176"/>
      <c r="J824" s="176"/>
      <c r="K824" s="176"/>
      <c r="L824" s="176"/>
      <c r="M824" s="176" t="s">
        <v>61</v>
      </c>
      <c r="N824" s="176"/>
      <c r="O824" s="10"/>
    </row>
    <row r="825" spans="1:15" x14ac:dyDescent="0.25">
      <c r="A825" s="176" t="s">
        <v>62</v>
      </c>
      <c r="B825" s="176"/>
      <c r="C825" s="176"/>
      <c r="D825" s="176"/>
      <c r="E825" s="176"/>
      <c r="F825" s="176"/>
      <c r="G825" s="176"/>
      <c r="H825" s="176"/>
      <c r="I825" s="176"/>
      <c r="J825" s="176"/>
      <c r="K825" s="176"/>
      <c r="L825" s="176"/>
      <c r="M825" s="176" t="s">
        <v>61</v>
      </c>
      <c r="N825" s="176"/>
      <c r="O825" s="10"/>
    </row>
    <row r="826" spans="1:15" x14ac:dyDescent="0.25">
      <c r="O826" s="10"/>
    </row>
    <row r="827" spans="1:15" ht="15.75" x14ac:dyDescent="0.25">
      <c r="A827" s="184" t="s">
        <v>63</v>
      </c>
      <c r="B827" s="185"/>
      <c r="C827" s="185"/>
      <c r="D827" s="185"/>
      <c r="E827" s="185"/>
      <c r="F827" s="185"/>
      <c r="G827" s="185"/>
      <c r="H827" s="185"/>
      <c r="I827" s="185"/>
      <c r="J827" s="185"/>
      <c r="K827" s="185"/>
      <c r="L827" s="185"/>
      <c r="M827" s="185"/>
      <c r="N827" s="186"/>
      <c r="O827" s="10"/>
    </row>
    <row r="828" spans="1:15" x14ac:dyDescent="0.25">
      <c r="A828" s="178"/>
      <c r="B828" s="179"/>
      <c r="C828" s="179"/>
      <c r="D828" s="179"/>
      <c r="E828" s="179"/>
      <c r="F828" s="179"/>
      <c r="G828" s="179"/>
      <c r="H828" s="179"/>
      <c r="I828" s="179"/>
      <c r="J828" s="179"/>
      <c r="K828" s="179"/>
      <c r="L828" s="179"/>
      <c r="M828" s="179"/>
      <c r="N828" s="179"/>
      <c r="O828" s="10">
        <f t="shared" si="35"/>
        <v>0</v>
      </c>
    </row>
    <row r="829" spans="1:15" x14ac:dyDescent="0.25">
      <c r="A829" s="174" t="s">
        <v>64</v>
      </c>
      <c r="B829" s="174"/>
      <c r="C829" s="174"/>
      <c r="D829" s="174"/>
      <c r="E829" s="174"/>
      <c r="F829" s="174"/>
      <c r="G829" s="174"/>
      <c r="H829" s="174"/>
      <c r="I829" s="174"/>
      <c r="J829" s="174"/>
      <c r="K829" s="174"/>
      <c r="L829" s="174"/>
      <c r="M829" s="174"/>
      <c r="N829" s="174"/>
      <c r="O829" s="10"/>
    </row>
    <row r="830" spans="1:15" x14ac:dyDescent="0.25">
      <c r="A830" s="178"/>
      <c r="B830" s="179"/>
      <c r="C830" s="179"/>
      <c r="D830" s="179"/>
      <c r="E830" s="179"/>
      <c r="F830" s="179"/>
      <c r="G830" s="179"/>
      <c r="H830" s="179"/>
      <c r="I830" s="179"/>
      <c r="J830" s="179"/>
      <c r="K830" s="179"/>
      <c r="L830" s="179"/>
      <c r="M830" s="179"/>
      <c r="N830" s="180"/>
      <c r="O830" s="10">
        <f t="shared" si="35"/>
        <v>0</v>
      </c>
    </row>
    <row r="831" spans="1:15" x14ac:dyDescent="0.25">
      <c r="A831" s="176" t="s">
        <v>60</v>
      </c>
      <c r="B831" s="176"/>
      <c r="C831" s="176"/>
      <c r="D831" s="176"/>
      <c r="E831" s="176"/>
      <c r="F831" s="176"/>
      <c r="G831" s="176"/>
      <c r="H831" s="176"/>
      <c r="I831" s="176"/>
      <c r="J831" s="176"/>
      <c r="K831" s="176"/>
      <c r="L831" s="176"/>
      <c r="M831" s="176" t="s">
        <v>61</v>
      </c>
      <c r="N831" s="176"/>
      <c r="O831" s="10"/>
    </row>
    <row r="832" spans="1:15" x14ac:dyDescent="0.25">
      <c r="A832" s="176" t="s">
        <v>62</v>
      </c>
      <c r="B832" s="176"/>
      <c r="C832" s="176"/>
      <c r="D832" s="176"/>
      <c r="E832" s="176"/>
      <c r="F832" s="176"/>
      <c r="G832" s="176"/>
      <c r="H832" s="176"/>
      <c r="I832" s="176"/>
      <c r="J832" s="176"/>
      <c r="K832" s="176"/>
      <c r="L832" s="176"/>
      <c r="M832" s="176" t="s">
        <v>61</v>
      </c>
      <c r="N832" s="176"/>
      <c r="O832" s="10"/>
    </row>
    <row r="833" spans="1:15" x14ac:dyDescent="0.25">
      <c r="O833" s="10"/>
    </row>
    <row r="834" spans="1:15" ht="15.75" x14ac:dyDescent="0.25">
      <c r="A834" s="177" t="s">
        <v>65</v>
      </c>
      <c r="B834" s="177"/>
      <c r="C834" s="177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0"/>
    </row>
    <row r="835" spans="1:15" x14ac:dyDescent="0.25">
      <c r="A835" s="178"/>
      <c r="B835" s="179"/>
      <c r="C835" s="179"/>
      <c r="D835" s="179"/>
      <c r="E835" s="179"/>
      <c r="F835" s="179"/>
      <c r="G835" s="179"/>
      <c r="H835" s="179"/>
      <c r="I835" s="179"/>
      <c r="J835" s="179"/>
      <c r="K835" s="179"/>
      <c r="L835" s="179"/>
      <c r="M835" s="179"/>
      <c r="N835" s="180"/>
      <c r="O835" s="10">
        <f t="shared" si="35"/>
        <v>0</v>
      </c>
    </row>
    <row r="836" spans="1:15" x14ac:dyDescent="0.25">
      <c r="A836" s="174" t="s">
        <v>66</v>
      </c>
      <c r="B836" s="174"/>
      <c r="C836" s="174"/>
      <c r="D836" s="174"/>
      <c r="E836" s="174"/>
      <c r="F836" s="174"/>
      <c r="G836" s="174"/>
      <c r="H836" s="174"/>
      <c r="I836" s="174"/>
      <c r="J836" s="174"/>
      <c r="K836" s="174"/>
      <c r="L836" s="174"/>
      <c r="M836" s="174"/>
      <c r="N836" s="174"/>
      <c r="O836" s="10"/>
    </row>
    <row r="837" spans="1:15" x14ac:dyDescent="0.25">
      <c r="A837" s="178"/>
      <c r="B837" s="179"/>
      <c r="C837" s="179"/>
      <c r="D837" s="179"/>
      <c r="E837" s="179"/>
      <c r="F837" s="179"/>
      <c r="G837" s="179"/>
      <c r="H837" s="179"/>
      <c r="I837" s="179"/>
      <c r="J837" s="179"/>
      <c r="K837" s="179"/>
      <c r="L837" s="179"/>
      <c r="M837" s="179"/>
      <c r="N837" s="180"/>
      <c r="O837" s="10">
        <f t="shared" si="35"/>
        <v>0</v>
      </c>
    </row>
    <row r="838" spans="1:15" x14ac:dyDescent="0.25">
      <c r="A838" s="187" t="s">
        <v>60</v>
      </c>
      <c r="B838" s="187"/>
      <c r="C838" s="187"/>
      <c r="D838" s="187"/>
      <c r="E838" s="187"/>
      <c r="F838" s="187"/>
      <c r="G838" s="187"/>
      <c r="H838" s="187"/>
      <c r="I838" s="187"/>
      <c r="J838" s="187"/>
      <c r="K838" s="187"/>
      <c r="L838" s="187"/>
      <c r="M838" s="176" t="s">
        <v>61</v>
      </c>
      <c r="N838" s="176"/>
      <c r="O838" s="10"/>
    </row>
    <row r="839" spans="1:15" x14ac:dyDescent="0.25">
      <c r="A839" s="187" t="s">
        <v>62</v>
      </c>
      <c r="B839" s="187"/>
      <c r="C839" s="187"/>
      <c r="D839" s="187"/>
      <c r="E839" s="187"/>
      <c r="F839" s="187"/>
      <c r="G839" s="187"/>
      <c r="H839" s="187"/>
      <c r="I839" s="187"/>
      <c r="J839" s="187"/>
      <c r="K839" s="187"/>
      <c r="L839" s="187"/>
      <c r="M839" s="176" t="s">
        <v>61</v>
      </c>
      <c r="N839" s="176"/>
      <c r="O839" s="10"/>
    </row>
    <row r="840" spans="1:15" x14ac:dyDescent="0.25">
      <c r="O840" s="10"/>
    </row>
    <row r="841" spans="1:15" ht="15.75" x14ac:dyDescent="0.25">
      <c r="A841" s="184" t="s">
        <v>67</v>
      </c>
      <c r="B841" s="185"/>
      <c r="C841" s="185"/>
      <c r="D841" s="185"/>
      <c r="E841" s="185"/>
      <c r="F841" s="185"/>
      <c r="G841" s="185"/>
      <c r="H841" s="185"/>
      <c r="I841" s="185"/>
      <c r="J841" s="185"/>
      <c r="K841" s="185"/>
      <c r="L841" s="185"/>
      <c r="M841" s="185"/>
      <c r="N841" s="186"/>
      <c r="O841" s="10"/>
    </row>
    <row r="842" spans="1:15" x14ac:dyDescent="0.25">
      <c r="A842" s="178"/>
      <c r="B842" s="179"/>
      <c r="C842" s="179"/>
      <c r="D842" s="179"/>
      <c r="E842" s="179"/>
      <c r="F842" s="179"/>
      <c r="G842" s="179"/>
      <c r="H842" s="179"/>
      <c r="I842" s="179"/>
      <c r="J842" s="179"/>
      <c r="K842" s="179"/>
      <c r="L842" s="179"/>
      <c r="M842" s="179"/>
      <c r="N842" s="180"/>
      <c r="O842" s="10">
        <f t="shared" si="35"/>
        <v>0</v>
      </c>
    </row>
    <row r="843" spans="1:15" x14ac:dyDescent="0.25">
      <c r="A843" s="174" t="s">
        <v>68</v>
      </c>
      <c r="B843" s="174"/>
      <c r="C843" s="174"/>
      <c r="D843" s="174"/>
      <c r="E843" s="174"/>
      <c r="F843" s="174"/>
      <c r="G843" s="174"/>
      <c r="H843" s="174"/>
      <c r="I843" s="174"/>
      <c r="J843" s="174"/>
      <c r="K843" s="174"/>
      <c r="L843" s="174"/>
      <c r="M843" s="174"/>
      <c r="N843" s="174"/>
      <c r="O843" s="10"/>
    </row>
    <row r="844" spans="1:15" x14ac:dyDescent="0.25">
      <c r="A844" s="178"/>
      <c r="B844" s="179"/>
      <c r="C844" s="179"/>
      <c r="D844" s="179"/>
      <c r="E844" s="179"/>
      <c r="F844" s="179"/>
      <c r="G844" s="179"/>
      <c r="H844" s="179"/>
      <c r="I844" s="179"/>
      <c r="J844" s="179"/>
      <c r="K844" s="179"/>
      <c r="L844" s="179"/>
      <c r="M844" s="179"/>
      <c r="N844" s="180"/>
      <c r="O844" s="10">
        <f t="shared" si="35"/>
        <v>0</v>
      </c>
    </row>
    <row r="845" spans="1:15" x14ac:dyDescent="0.25">
      <c r="A845" s="176" t="s">
        <v>60</v>
      </c>
      <c r="B845" s="176"/>
      <c r="C845" s="176"/>
      <c r="D845" s="176"/>
      <c r="E845" s="176"/>
      <c r="F845" s="176"/>
      <c r="G845" s="176"/>
      <c r="H845" s="176"/>
      <c r="I845" s="176"/>
      <c r="J845" s="176"/>
      <c r="K845" s="176"/>
      <c r="L845" s="176"/>
      <c r="M845" s="176" t="s">
        <v>61</v>
      </c>
      <c r="N845" s="176"/>
      <c r="O845" s="10"/>
    </row>
    <row r="846" spans="1:15" x14ac:dyDescent="0.25">
      <c r="A846" s="176" t="s">
        <v>62</v>
      </c>
      <c r="B846" s="176"/>
      <c r="C846" s="176"/>
      <c r="D846" s="176"/>
      <c r="E846" s="176"/>
      <c r="F846" s="176"/>
      <c r="G846" s="176"/>
      <c r="H846" s="176"/>
      <c r="I846" s="176"/>
      <c r="J846" s="176"/>
      <c r="K846" s="176"/>
      <c r="L846" s="176"/>
      <c r="M846" s="176" t="s">
        <v>61</v>
      </c>
      <c r="N846" s="176"/>
      <c r="O846" s="10"/>
    </row>
    <row r="847" spans="1:15" x14ac:dyDescent="0.25">
      <c r="A847" s="209" t="s">
        <v>91</v>
      </c>
      <c r="B847" s="209"/>
      <c r="C847" s="209"/>
      <c r="D847" s="209"/>
      <c r="E847" s="209"/>
      <c r="F847" s="209"/>
      <c r="G847" s="209"/>
      <c r="H847" s="209"/>
      <c r="I847" s="209"/>
      <c r="J847" s="209"/>
      <c r="K847" s="209"/>
      <c r="L847" s="209"/>
      <c r="M847" s="209"/>
      <c r="N847" s="209"/>
      <c r="O847" s="4"/>
    </row>
    <row r="848" spans="1:15" x14ac:dyDescent="0.25">
      <c r="A848" s="209" t="s">
        <v>89</v>
      </c>
      <c r="B848" s="209"/>
      <c r="C848" s="209"/>
      <c r="D848" s="209"/>
      <c r="E848" s="209"/>
      <c r="F848" s="209"/>
      <c r="G848" s="209"/>
      <c r="H848" s="209"/>
      <c r="I848" s="209"/>
      <c r="J848" s="209"/>
      <c r="K848" s="209"/>
      <c r="L848" s="209"/>
      <c r="M848" s="209"/>
      <c r="N848" s="209"/>
      <c r="O848" s="4"/>
    </row>
    <row r="849" spans="1:15" x14ac:dyDescent="0.25">
      <c r="A849" s="209" t="s">
        <v>44</v>
      </c>
      <c r="B849" s="209"/>
      <c r="C849" s="209"/>
      <c r="D849" s="209"/>
      <c r="E849" s="209"/>
      <c r="F849" s="209"/>
      <c r="G849" s="209"/>
      <c r="H849" s="209"/>
      <c r="I849" s="209"/>
      <c r="J849" s="209"/>
      <c r="K849" s="209"/>
      <c r="L849" s="209"/>
      <c r="M849" s="209"/>
      <c r="N849" s="209"/>
      <c r="O849" s="4"/>
    </row>
    <row r="850" spans="1:15" ht="15.75" x14ac:dyDescent="0.25">
      <c r="A850" s="210" t="s">
        <v>72</v>
      </c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0"/>
      <c r="M850" s="210"/>
      <c r="N850" s="210"/>
      <c r="O850" s="4"/>
    </row>
    <row r="851" spans="1:15" ht="15.75" x14ac:dyDescent="0.25">
      <c r="A851" s="211" t="s">
        <v>125</v>
      </c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211"/>
      <c r="N851" s="211"/>
      <c r="O851" s="4"/>
    </row>
    <row r="852" spans="1:15" ht="15.75" x14ac:dyDescent="0.25">
      <c r="A852" s="5" t="s">
        <v>46</v>
      </c>
      <c r="B852" s="208" t="s">
        <v>123</v>
      </c>
      <c r="C852" s="208"/>
      <c r="D852" s="208"/>
      <c r="E852" s="208"/>
      <c r="F852" s="208"/>
      <c r="G852" s="208"/>
      <c r="H852" s="208"/>
      <c r="I852" s="208"/>
      <c r="J852" s="208"/>
      <c r="K852" s="208"/>
      <c r="L852" s="208"/>
      <c r="M852" s="208"/>
      <c r="N852" s="208"/>
      <c r="O852" s="4"/>
    </row>
    <row r="853" spans="1:15" ht="15.75" x14ac:dyDescent="0.25">
      <c r="A853" s="5" t="s">
        <v>47</v>
      </c>
      <c r="B853" s="175" t="s">
        <v>111</v>
      </c>
      <c r="C853" s="175"/>
      <c r="D853" s="175"/>
      <c r="E853" s="175"/>
      <c r="F853" s="175"/>
      <c r="G853" s="175"/>
      <c r="H853" s="175"/>
      <c r="I853" s="175"/>
      <c r="J853" s="175"/>
      <c r="K853" s="175"/>
      <c r="L853" s="174" t="s">
        <v>74</v>
      </c>
      <c r="M853" s="174"/>
      <c r="N853" s="34">
        <v>13566.319144245779</v>
      </c>
      <c r="O853" s="4"/>
    </row>
    <row r="854" spans="1:15" x14ac:dyDescent="0.25">
      <c r="A854" s="6" t="s">
        <v>21</v>
      </c>
      <c r="B854" s="7" t="s">
        <v>92</v>
      </c>
      <c r="C854" s="6" t="s">
        <v>22</v>
      </c>
      <c r="D854" s="7">
        <v>2020</v>
      </c>
      <c r="E854" s="194" t="s">
        <v>20</v>
      </c>
      <c r="F854" s="194"/>
      <c r="G854" s="194"/>
      <c r="H854" s="195" t="s">
        <v>124</v>
      </c>
      <c r="I854" s="196"/>
      <c r="J854" s="196"/>
      <c r="K854" s="196"/>
      <c r="L854" s="196"/>
      <c r="M854" s="196"/>
      <c r="N854" s="197"/>
      <c r="O854" s="4"/>
    </row>
    <row r="855" spans="1:15" x14ac:dyDescent="0.25">
      <c r="A855" s="198" t="s">
        <v>48</v>
      </c>
      <c r="B855" s="199"/>
      <c r="C855" s="200"/>
      <c r="D855" s="204" t="s">
        <v>49</v>
      </c>
      <c r="E855" s="205"/>
      <c r="F855" s="205"/>
      <c r="G855" s="205"/>
      <c r="H855" s="206"/>
      <c r="I855" s="207" t="s">
        <v>50</v>
      </c>
      <c r="J855" s="207"/>
      <c r="K855" s="207"/>
      <c r="L855" s="207"/>
      <c r="M855" s="207"/>
      <c r="N855" s="207"/>
      <c r="O855" s="4"/>
    </row>
    <row r="856" spans="1:15" ht="30" x14ac:dyDescent="0.25">
      <c r="A856" s="201"/>
      <c r="B856" s="202"/>
      <c r="C856" s="203"/>
      <c r="D856" s="8" t="s">
        <v>51</v>
      </c>
      <c r="E856" s="8" t="s">
        <v>52</v>
      </c>
      <c r="F856" s="8" t="s">
        <v>53</v>
      </c>
      <c r="G856" s="8" t="s">
        <v>54</v>
      </c>
      <c r="H856" s="8" t="s">
        <v>55</v>
      </c>
      <c r="I856" s="33" t="s">
        <v>51</v>
      </c>
      <c r="J856" s="33" t="s">
        <v>52</v>
      </c>
      <c r="K856" s="33" t="s">
        <v>53</v>
      </c>
      <c r="L856" s="33" t="s">
        <v>54</v>
      </c>
      <c r="M856" s="201" t="s">
        <v>56</v>
      </c>
      <c r="N856" s="203"/>
      <c r="O856" s="4"/>
    </row>
    <row r="857" spans="1:15" x14ac:dyDescent="0.25">
      <c r="A857" s="181" t="s">
        <v>2</v>
      </c>
      <c r="B857" s="182"/>
      <c r="C857" s="183"/>
      <c r="D857" s="9" t="s">
        <v>57</v>
      </c>
      <c r="E857" s="9" t="s">
        <v>57</v>
      </c>
      <c r="F857" s="9" t="s">
        <v>57</v>
      </c>
      <c r="G857" s="9" t="s">
        <v>57</v>
      </c>
      <c r="H857" s="9"/>
      <c r="I857" s="15">
        <v>0</v>
      </c>
      <c r="J857" s="15">
        <v>0</v>
      </c>
      <c r="K857" s="15">
        <v>0</v>
      </c>
      <c r="L857" s="15">
        <v>0</v>
      </c>
      <c r="M857" s="190">
        <f>I857+J857+K857+L857</f>
        <v>0</v>
      </c>
      <c r="N857" s="191"/>
      <c r="O857" s="4"/>
    </row>
    <row r="858" spans="1:15" x14ac:dyDescent="0.25">
      <c r="A858" s="181" t="s">
        <v>3</v>
      </c>
      <c r="B858" s="182"/>
      <c r="C858" s="183"/>
      <c r="D858" s="9" t="s">
        <v>57</v>
      </c>
      <c r="E858" s="9" t="s">
        <v>57</v>
      </c>
      <c r="F858" s="9" t="s">
        <v>57</v>
      </c>
      <c r="G858" s="9" t="s">
        <v>57</v>
      </c>
      <c r="H858" s="9"/>
      <c r="I858" s="15">
        <v>0</v>
      </c>
      <c r="J858" s="15">
        <v>0</v>
      </c>
      <c r="K858" s="15">
        <v>0</v>
      </c>
      <c r="L858" s="15">
        <v>0</v>
      </c>
      <c r="M858" s="192">
        <f t="shared" ref="M858:M865" si="36">I858+J858+K858+L858</f>
        <v>0</v>
      </c>
      <c r="N858" s="193"/>
      <c r="O858" s="4"/>
    </row>
    <row r="859" spans="1:15" x14ac:dyDescent="0.25">
      <c r="A859" s="181" t="s">
        <v>4</v>
      </c>
      <c r="B859" s="182"/>
      <c r="C859" s="183"/>
      <c r="D859" s="9" t="s">
        <v>57</v>
      </c>
      <c r="E859" s="9" t="s">
        <v>57</v>
      </c>
      <c r="F859" s="9" t="s">
        <v>57</v>
      </c>
      <c r="G859" s="9" t="s">
        <v>57</v>
      </c>
      <c r="H859" s="9"/>
      <c r="I859" s="15">
        <v>0</v>
      </c>
      <c r="J859" s="15">
        <v>0</v>
      </c>
      <c r="K859" s="15">
        <v>0</v>
      </c>
      <c r="L859" s="15">
        <v>0</v>
      </c>
      <c r="M859" s="192">
        <f t="shared" si="36"/>
        <v>0</v>
      </c>
      <c r="N859" s="193"/>
      <c r="O859" s="4"/>
    </row>
    <row r="860" spans="1:15" x14ac:dyDescent="0.25">
      <c r="A860" s="181" t="s">
        <v>5</v>
      </c>
      <c r="B860" s="182"/>
      <c r="C860" s="183"/>
      <c r="D860" s="9" t="s">
        <v>57</v>
      </c>
      <c r="E860" s="9" t="s">
        <v>57</v>
      </c>
      <c r="F860" s="9" t="s">
        <v>57</v>
      </c>
      <c r="G860" s="9" t="s">
        <v>57</v>
      </c>
      <c r="H860" s="9"/>
      <c r="I860" s="15">
        <v>0</v>
      </c>
      <c r="J860" s="15">
        <v>0</v>
      </c>
      <c r="K860" s="15">
        <v>0</v>
      </c>
      <c r="L860" s="15">
        <v>0</v>
      </c>
      <c r="M860" s="192">
        <f t="shared" si="36"/>
        <v>0</v>
      </c>
      <c r="N860" s="193"/>
      <c r="O860" s="4"/>
    </row>
    <row r="861" spans="1:15" x14ac:dyDescent="0.25">
      <c r="A861" s="181" t="s">
        <v>6</v>
      </c>
      <c r="B861" s="182"/>
      <c r="C861" s="183"/>
      <c r="D861" s="9" t="s">
        <v>57</v>
      </c>
      <c r="E861" s="9" t="s">
        <v>57</v>
      </c>
      <c r="F861" s="9" t="s">
        <v>57</v>
      </c>
      <c r="G861" s="9" t="s">
        <v>57</v>
      </c>
      <c r="H861" s="9"/>
      <c r="I861" s="15">
        <v>0</v>
      </c>
      <c r="J861" s="15">
        <v>0</v>
      </c>
      <c r="K861" s="15">
        <v>0</v>
      </c>
      <c r="L861" s="15">
        <v>0</v>
      </c>
      <c r="M861" s="192">
        <f t="shared" si="36"/>
        <v>0</v>
      </c>
      <c r="N861" s="193"/>
      <c r="O861" s="4"/>
    </row>
    <row r="862" spans="1:15" x14ac:dyDescent="0.25">
      <c r="A862" s="181" t="s">
        <v>8</v>
      </c>
      <c r="B862" s="182"/>
      <c r="C862" s="183"/>
      <c r="D862" s="9" t="s">
        <v>57</v>
      </c>
      <c r="E862" s="9" t="s">
        <v>57</v>
      </c>
      <c r="F862" s="9" t="s">
        <v>57</v>
      </c>
      <c r="G862" s="9" t="s">
        <v>57</v>
      </c>
      <c r="H862" s="9"/>
      <c r="I862" s="15">
        <v>0</v>
      </c>
      <c r="J862" s="15">
        <v>0</v>
      </c>
      <c r="K862" s="15">
        <v>0</v>
      </c>
      <c r="L862" s="15">
        <v>0</v>
      </c>
      <c r="M862" s="192">
        <f t="shared" si="36"/>
        <v>0</v>
      </c>
      <c r="N862" s="193"/>
      <c r="O862" s="4"/>
    </row>
    <row r="863" spans="1:15" x14ac:dyDescent="0.25">
      <c r="A863" s="181" t="s">
        <v>38</v>
      </c>
      <c r="B863" s="182"/>
      <c r="C863" s="183"/>
      <c r="D863" s="9" t="s">
        <v>57</v>
      </c>
      <c r="E863" s="9" t="s">
        <v>57</v>
      </c>
      <c r="F863" s="9" t="s">
        <v>57</v>
      </c>
      <c r="G863" s="9" t="s">
        <v>57</v>
      </c>
      <c r="H863" s="9"/>
      <c r="I863" s="15">
        <v>0</v>
      </c>
      <c r="J863" s="15">
        <v>0</v>
      </c>
      <c r="K863" s="15">
        <v>0</v>
      </c>
      <c r="L863" s="15">
        <v>0</v>
      </c>
      <c r="M863" s="192">
        <f t="shared" si="36"/>
        <v>0</v>
      </c>
      <c r="N863" s="193"/>
      <c r="O863" s="4"/>
    </row>
    <row r="864" spans="1:15" x14ac:dyDescent="0.25">
      <c r="A864" s="181" t="s">
        <v>7</v>
      </c>
      <c r="B864" s="182"/>
      <c r="C864" s="183"/>
      <c r="D864" s="9" t="s">
        <v>57</v>
      </c>
      <c r="E864" s="9" t="s">
        <v>57</v>
      </c>
      <c r="F864" s="9" t="s">
        <v>57</v>
      </c>
      <c r="G864" s="9" t="s">
        <v>57</v>
      </c>
      <c r="H864" s="9"/>
      <c r="I864" s="15">
        <v>0</v>
      </c>
      <c r="J864" s="15">
        <v>0</v>
      </c>
      <c r="K864" s="15">
        <v>0</v>
      </c>
      <c r="L864" s="15">
        <v>0</v>
      </c>
      <c r="M864" s="192">
        <f t="shared" si="36"/>
        <v>0</v>
      </c>
      <c r="N864" s="193"/>
      <c r="O864" s="4"/>
    </row>
    <row r="865" spans="1:15" x14ac:dyDescent="0.25">
      <c r="A865" s="181" t="s">
        <v>90</v>
      </c>
      <c r="B865" s="182"/>
      <c r="C865" s="183"/>
      <c r="D865" s="9" t="s">
        <v>57</v>
      </c>
      <c r="E865" s="9" t="s">
        <v>57</v>
      </c>
      <c r="F865" s="9" t="s">
        <v>57</v>
      </c>
      <c r="G865" s="9" t="s">
        <v>57</v>
      </c>
      <c r="H865" s="9"/>
      <c r="I865" s="15">
        <v>0</v>
      </c>
      <c r="J865" s="15">
        <v>0</v>
      </c>
      <c r="K865" s="15">
        <v>0</v>
      </c>
      <c r="L865" s="15">
        <v>0</v>
      </c>
      <c r="M865" s="188">
        <f t="shared" si="36"/>
        <v>0</v>
      </c>
      <c r="N865" s="189"/>
      <c r="O865" s="4"/>
    </row>
    <row r="866" spans="1:15" x14ac:dyDescent="0.25">
      <c r="O866" s="4"/>
    </row>
    <row r="867" spans="1:15" ht="15.75" x14ac:dyDescent="0.25">
      <c r="A867" s="177" t="s">
        <v>58</v>
      </c>
      <c r="B867" s="177"/>
      <c r="C867" s="177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4"/>
    </row>
    <row r="868" spans="1:15" x14ac:dyDescent="0.25">
      <c r="A868" s="178"/>
      <c r="B868" s="179"/>
      <c r="C868" s="179"/>
      <c r="D868" s="179"/>
      <c r="E868" s="179"/>
      <c r="F868" s="179"/>
      <c r="G868" s="179"/>
      <c r="H868" s="179"/>
      <c r="I868" s="179"/>
      <c r="J868" s="179"/>
      <c r="K868" s="179"/>
      <c r="L868" s="179"/>
      <c r="M868" s="179"/>
      <c r="N868" s="180"/>
      <c r="O868" s="10">
        <f>A868</f>
        <v>0</v>
      </c>
    </row>
    <row r="869" spans="1:15" x14ac:dyDescent="0.25">
      <c r="A869" s="174" t="s">
        <v>59</v>
      </c>
      <c r="B869" s="174"/>
      <c r="C869" s="174"/>
      <c r="D869" s="174"/>
      <c r="E869" s="174"/>
      <c r="F869" s="174"/>
      <c r="G869" s="174"/>
      <c r="H869" s="174"/>
      <c r="I869" s="174"/>
      <c r="J869" s="174"/>
      <c r="K869" s="174"/>
      <c r="L869" s="174"/>
      <c r="M869" s="174"/>
      <c r="N869" s="174"/>
      <c r="O869" s="10"/>
    </row>
    <row r="870" spans="1:15" x14ac:dyDescent="0.25">
      <c r="A870" s="178"/>
      <c r="B870" s="179"/>
      <c r="C870" s="179"/>
      <c r="D870" s="179"/>
      <c r="E870" s="179"/>
      <c r="F870" s="179"/>
      <c r="G870" s="179"/>
      <c r="H870" s="179"/>
      <c r="I870" s="179"/>
      <c r="J870" s="179"/>
      <c r="K870" s="179"/>
      <c r="L870" s="179"/>
      <c r="M870" s="179"/>
      <c r="N870" s="180"/>
      <c r="O870" s="10">
        <f t="shared" ref="O870:O891" si="37">A870</f>
        <v>0</v>
      </c>
    </row>
    <row r="871" spans="1:15" x14ac:dyDescent="0.25">
      <c r="A871" s="176" t="s">
        <v>60</v>
      </c>
      <c r="B871" s="176"/>
      <c r="C871" s="176"/>
      <c r="D871" s="176"/>
      <c r="E871" s="176"/>
      <c r="F871" s="176"/>
      <c r="G871" s="176"/>
      <c r="H871" s="176"/>
      <c r="I871" s="176"/>
      <c r="J871" s="176"/>
      <c r="K871" s="176"/>
      <c r="L871" s="176"/>
      <c r="M871" s="176" t="s">
        <v>61</v>
      </c>
      <c r="N871" s="176"/>
      <c r="O871" s="10"/>
    </row>
    <row r="872" spans="1:15" x14ac:dyDescent="0.25">
      <c r="A872" s="176" t="s">
        <v>62</v>
      </c>
      <c r="B872" s="176"/>
      <c r="C872" s="176"/>
      <c r="D872" s="176"/>
      <c r="E872" s="176"/>
      <c r="F872" s="176"/>
      <c r="G872" s="176"/>
      <c r="H872" s="176"/>
      <c r="I872" s="176"/>
      <c r="J872" s="176"/>
      <c r="K872" s="176"/>
      <c r="L872" s="176"/>
      <c r="M872" s="176" t="s">
        <v>61</v>
      </c>
      <c r="N872" s="176"/>
      <c r="O872" s="10"/>
    </row>
    <row r="873" spans="1:15" x14ac:dyDescent="0.25">
      <c r="O873" s="10"/>
    </row>
    <row r="874" spans="1:15" ht="15.75" x14ac:dyDescent="0.25">
      <c r="A874" s="184" t="s">
        <v>63</v>
      </c>
      <c r="B874" s="185"/>
      <c r="C874" s="185"/>
      <c r="D874" s="185"/>
      <c r="E874" s="185"/>
      <c r="F874" s="185"/>
      <c r="G874" s="185"/>
      <c r="H874" s="185"/>
      <c r="I874" s="185"/>
      <c r="J874" s="185"/>
      <c r="K874" s="185"/>
      <c r="L874" s="185"/>
      <c r="M874" s="185"/>
      <c r="N874" s="186"/>
      <c r="O874" s="10"/>
    </row>
    <row r="875" spans="1:15" x14ac:dyDescent="0.25">
      <c r="A875" s="178"/>
      <c r="B875" s="179"/>
      <c r="C875" s="179"/>
      <c r="D875" s="179"/>
      <c r="E875" s="179"/>
      <c r="F875" s="179"/>
      <c r="G875" s="179"/>
      <c r="H875" s="179"/>
      <c r="I875" s="179"/>
      <c r="J875" s="179"/>
      <c r="K875" s="179"/>
      <c r="L875" s="179"/>
      <c r="M875" s="179"/>
      <c r="N875" s="179"/>
      <c r="O875" s="10">
        <f t="shared" si="37"/>
        <v>0</v>
      </c>
    </row>
    <row r="876" spans="1:15" x14ac:dyDescent="0.25">
      <c r="A876" s="174" t="s">
        <v>64</v>
      </c>
      <c r="B876" s="174"/>
      <c r="C876" s="174"/>
      <c r="D876" s="174"/>
      <c r="E876" s="174"/>
      <c r="F876" s="174"/>
      <c r="G876" s="174"/>
      <c r="H876" s="174"/>
      <c r="I876" s="174"/>
      <c r="J876" s="174"/>
      <c r="K876" s="174"/>
      <c r="L876" s="174"/>
      <c r="M876" s="174"/>
      <c r="N876" s="174"/>
      <c r="O876" s="10"/>
    </row>
    <row r="877" spans="1:15" x14ac:dyDescent="0.25">
      <c r="A877" s="178"/>
      <c r="B877" s="179"/>
      <c r="C877" s="179"/>
      <c r="D877" s="179"/>
      <c r="E877" s="179"/>
      <c r="F877" s="179"/>
      <c r="G877" s="179"/>
      <c r="H877" s="179"/>
      <c r="I877" s="179"/>
      <c r="J877" s="179"/>
      <c r="K877" s="179"/>
      <c r="L877" s="179"/>
      <c r="M877" s="179"/>
      <c r="N877" s="180"/>
      <c r="O877" s="10">
        <f t="shared" si="37"/>
        <v>0</v>
      </c>
    </row>
    <row r="878" spans="1:15" x14ac:dyDescent="0.25">
      <c r="A878" s="176" t="s">
        <v>60</v>
      </c>
      <c r="B878" s="176"/>
      <c r="C878" s="176"/>
      <c r="D878" s="176"/>
      <c r="E878" s="176"/>
      <c r="F878" s="176"/>
      <c r="G878" s="176"/>
      <c r="H878" s="176"/>
      <c r="I878" s="176"/>
      <c r="J878" s="176"/>
      <c r="K878" s="176"/>
      <c r="L878" s="176"/>
      <c r="M878" s="176" t="s">
        <v>61</v>
      </c>
      <c r="N878" s="176"/>
      <c r="O878" s="10"/>
    </row>
    <row r="879" spans="1:15" x14ac:dyDescent="0.25">
      <c r="A879" s="176" t="s">
        <v>62</v>
      </c>
      <c r="B879" s="176"/>
      <c r="C879" s="176"/>
      <c r="D879" s="176"/>
      <c r="E879" s="176"/>
      <c r="F879" s="176"/>
      <c r="G879" s="176"/>
      <c r="H879" s="176"/>
      <c r="I879" s="176"/>
      <c r="J879" s="176"/>
      <c r="K879" s="176"/>
      <c r="L879" s="176"/>
      <c r="M879" s="176" t="s">
        <v>61</v>
      </c>
      <c r="N879" s="176"/>
      <c r="O879" s="10"/>
    </row>
    <row r="880" spans="1:15" x14ac:dyDescent="0.25">
      <c r="O880" s="10"/>
    </row>
    <row r="881" spans="1:15" ht="15.75" x14ac:dyDescent="0.25">
      <c r="A881" s="177" t="s">
        <v>65</v>
      </c>
      <c r="B881" s="177"/>
      <c r="C881" s="177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0"/>
    </row>
    <row r="882" spans="1:15" x14ac:dyDescent="0.25">
      <c r="A882" s="178"/>
      <c r="B882" s="179"/>
      <c r="C882" s="179"/>
      <c r="D882" s="179"/>
      <c r="E882" s="179"/>
      <c r="F882" s="179"/>
      <c r="G882" s="179"/>
      <c r="H882" s="179"/>
      <c r="I882" s="179"/>
      <c r="J882" s="179"/>
      <c r="K882" s="179"/>
      <c r="L882" s="179"/>
      <c r="M882" s="179"/>
      <c r="N882" s="180"/>
      <c r="O882" s="10">
        <f t="shared" si="37"/>
        <v>0</v>
      </c>
    </row>
    <row r="883" spans="1:15" x14ac:dyDescent="0.25">
      <c r="A883" s="174" t="s">
        <v>66</v>
      </c>
      <c r="B883" s="174"/>
      <c r="C883" s="174"/>
      <c r="D883" s="174"/>
      <c r="E883" s="174"/>
      <c r="F883" s="174"/>
      <c r="G883" s="174"/>
      <c r="H883" s="174"/>
      <c r="I883" s="174"/>
      <c r="J883" s="174"/>
      <c r="K883" s="174"/>
      <c r="L883" s="174"/>
      <c r="M883" s="174"/>
      <c r="N883" s="174"/>
      <c r="O883" s="10"/>
    </row>
    <row r="884" spans="1:15" x14ac:dyDescent="0.25">
      <c r="A884" s="178"/>
      <c r="B884" s="179"/>
      <c r="C884" s="179"/>
      <c r="D884" s="179"/>
      <c r="E884" s="179"/>
      <c r="F884" s="179"/>
      <c r="G884" s="179"/>
      <c r="H884" s="179"/>
      <c r="I884" s="179"/>
      <c r="J884" s="179"/>
      <c r="K884" s="179"/>
      <c r="L884" s="179"/>
      <c r="M884" s="179"/>
      <c r="N884" s="180"/>
      <c r="O884" s="10">
        <f t="shared" si="37"/>
        <v>0</v>
      </c>
    </row>
    <row r="885" spans="1:15" x14ac:dyDescent="0.25">
      <c r="A885" s="187" t="s">
        <v>60</v>
      </c>
      <c r="B885" s="187"/>
      <c r="C885" s="187"/>
      <c r="D885" s="187"/>
      <c r="E885" s="187"/>
      <c r="F885" s="187"/>
      <c r="G885" s="187"/>
      <c r="H885" s="187"/>
      <c r="I885" s="187"/>
      <c r="J885" s="187"/>
      <c r="K885" s="187"/>
      <c r="L885" s="187"/>
      <c r="M885" s="176" t="s">
        <v>61</v>
      </c>
      <c r="N885" s="176"/>
      <c r="O885" s="10"/>
    </row>
    <row r="886" spans="1:15" x14ac:dyDescent="0.25">
      <c r="A886" s="187" t="s">
        <v>62</v>
      </c>
      <c r="B886" s="187"/>
      <c r="C886" s="187"/>
      <c r="D886" s="187"/>
      <c r="E886" s="187"/>
      <c r="F886" s="187"/>
      <c r="G886" s="187"/>
      <c r="H886" s="187"/>
      <c r="I886" s="187"/>
      <c r="J886" s="187"/>
      <c r="K886" s="187"/>
      <c r="L886" s="187"/>
      <c r="M886" s="176" t="s">
        <v>61</v>
      </c>
      <c r="N886" s="176"/>
      <c r="O886" s="10"/>
    </row>
    <row r="887" spans="1:15" x14ac:dyDescent="0.25">
      <c r="O887" s="10"/>
    </row>
    <row r="888" spans="1:15" ht="15.75" x14ac:dyDescent="0.25">
      <c r="A888" s="184" t="s">
        <v>67</v>
      </c>
      <c r="B888" s="185"/>
      <c r="C888" s="185"/>
      <c r="D888" s="185"/>
      <c r="E888" s="185"/>
      <c r="F888" s="185"/>
      <c r="G888" s="185"/>
      <c r="H888" s="185"/>
      <c r="I888" s="185"/>
      <c r="J888" s="185"/>
      <c r="K888" s="185"/>
      <c r="L888" s="185"/>
      <c r="M888" s="185"/>
      <c r="N888" s="186"/>
      <c r="O888" s="10"/>
    </row>
    <row r="889" spans="1:15" x14ac:dyDescent="0.25">
      <c r="A889" s="178"/>
      <c r="B889" s="179"/>
      <c r="C889" s="179"/>
      <c r="D889" s="179"/>
      <c r="E889" s="179"/>
      <c r="F889" s="179"/>
      <c r="G889" s="179"/>
      <c r="H889" s="179"/>
      <c r="I889" s="179"/>
      <c r="J889" s="179"/>
      <c r="K889" s="179"/>
      <c r="L889" s="179"/>
      <c r="M889" s="179"/>
      <c r="N889" s="180"/>
      <c r="O889" s="10">
        <f t="shared" si="37"/>
        <v>0</v>
      </c>
    </row>
    <row r="890" spans="1:15" x14ac:dyDescent="0.25">
      <c r="A890" s="174" t="s">
        <v>68</v>
      </c>
      <c r="B890" s="174"/>
      <c r="C890" s="174"/>
      <c r="D890" s="174"/>
      <c r="E890" s="174"/>
      <c r="F890" s="174"/>
      <c r="G890" s="174"/>
      <c r="H890" s="174"/>
      <c r="I890" s="174"/>
      <c r="J890" s="174"/>
      <c r="K890" s="174"/>
      <c r="L890" s="174"/>
      <c r="M890" s="174"/>
      <c r="N890" s="174"/>
      <c r="O890" s="10"/>
    </row>
    <row r="891" spans="1:15" x14ac:dyDescent="0.25">
      <c r="A891" s="178"/>
      <c r="B891" s="179"/>
      <c r="C891" s="179"/>
      <c r="D891" s="179"/>
      <c r="E891" s="179"/>
      <c r="F891" s="179"/>
      <c r="G891" s="179"/>
      <c r="H891" s="179"/>
      <c r="I891" s="179"/>
      <c r="J891" s="179"/>
      <c r="K891" s="179"/>
      <c r="L891" s="179"/>
      <c r="M891" s="179"/>
      <c r="N891" s="180"/>
      <c r="O891" s="10">
        <f t="shared" si="37"/>
        <v>0</v>
      </c>
    </row>
    <row r="892" spans="1:15" x14ac:dyDescent="0.25">
      <c r="A892" s="176" t="s">
        <v>60</v>
      </c>
      <c r="B892" s="176"/>
      <c r="C892" s="176"/>
      <c r="D892" s="176"/>
      <c r="E892" s="176"/>
      <c r="F892" s="176"/>
      <c r="G892" s="176"/>
      <c r="H892" s="176"/>
      <c r="I892" s="176"/>
      <c r="J892" s="176"/>
      <c r="K892" s="176"/>
      <c r="L892" s="176"/>
      <c r="M892" s="176" t="s">
        <v>61</v>
      </c>
      <c r="N892" s="176"/>
      <c r="O892" s="10"/>
    </row>
    <row r="893" spans="1:15" x14ac:dyDescent="0.25">
      <c r="A893" s="176" t="s">
        <v>62</v>
      </c>
      <c r="B893" s="176"/>
      <c r="C893" s="176"/>
      <c r="D893" s="176"/>
      <c r="E893" s="176"/>
      <c r="F893" s="176"/>
      <c r="G893" s="176"/>
      <c r="H893" s="176"/>
      <c r="I893" s="176"/>
      <c r="J893" s="176"/>
      <c r="K893" s="176"/>
      <c r="L893" s="176"/>
      <c r="M893" s="176" t="s">
        <v>61</v>
      </c>
      <c r="N893" s="176"/>
      <c r="O893" s="10"/>
    </row>
    <row r="894" spans="1:15" x14ac:dyDescent="0.25">
      <c r="A894" s="209" t="s">
        <v>91</v>
      </c>
      <c r="B894" s="209"/>
      <c r="C894" s="209"/>
      <c r="D894" s="209"/>
      <c r="E894" s="209"/>
      <c r="F894" s="209"/>
      <c r="G894" s="209"/>
      <c r="H894" s="209"/>
      <c r="I894" s="209"/>
      <c r="J894" s="209"/>
      <c r="K894" s="209"/>
      <c r="L894" s="209"/>
      <c r="M894" s="209"/>
      <c r="N894" s="209"/>
      <c r="O894" s="4"/>
    </row>
    <row r="895" spans="1:15" x14ac:dyDescent="0.25">
      <c r="A895" s="209" t="s">
        <v>89</v>
      </c>
      <c r="B895" s="209"/>
      <c r="C895" s="209"/>
      <c r="D895" s="209"/>
      <c r="E895" s="209"/>
      <c r="F895" s="209"/>
      <c r="G895" s="209"/>
      <c r="H895" s="209"/>
      <c r="I895" s="209"/>
      <c r="J895" s="209"/>
      <c r="K895" s="209"/>
      <c r="L895" s="209"/>
      <c r="M895" s="209"/>
      <c r="N895" s="209"/>
      <c r="O895" s="4"/>
    </row>
    <row r="896" spans="1:15" x14ac:dyDescent="0.25">
      <c r="A896" s="209" t="s">
        <v>44</v>
      </c>
      <c r="B896" s="209"/>
      <c r="C896" s="209"/>
      <c r="D896" s="209"/>
      <c r="E896" s="209"/>
      <c r="F896" s="209"/>
      <c r="G896" s="209"/>
      <c r="H896" s="209"/>
      <c r="I896" s="209"/>
      <c r="J896" s="209"/>
      <c r="K896" s="209"/>
      <c r="L896" s="209"/>
      <c r="M896" s="209"/>
      <c r="N896" s="209"/>
      <c r="O896" s="4"/>
    </row>
    <row r="897" spans="1:15" ht="15.75" x14ac:dyDescent="0.25">
      <c r="A897" s="210" t="s">
        <v>72</v>
      </c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0"/>
      <c r="M897" s="210"/>
      <c r="N897" s="210"/>
      <c r="O897" s="4"/>
    </row>
    <row r="898" spans="1:15" ht="15.75" x14ac:dyDescent="0.25">
      <c r="A898" s="211" t="s">
        <v>125</v>
      </c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211"/>
      <c r="N898" s="211"/>
      <c r="O898" s="4"/>
    </row>
    <row r="899" spans="1:15" ht="15.75" x14ac:dyDescent="0.25">
      <c r="A899" s="5" t="s">
        <v>46</v>
      </c>
      <c r="B899" s="208" t="s">
        <v>123</v>
      </c>
      <c r="C899" s="208"/>
      <c r="D899" s="208"/>
      <c r="E899" s="208"/>
      <c r="F899" s="208"/>
      <c r="G899" s="208"/>
      <c r="H899" s="208"/>
      <c r="I899" s="208"/>
      <c r="J899" s="208"/>
      <c r="K899" s="208"/>
      <c r="L899" s="208"/>
      <c r="M899" s="208"/>
      <c r="N899" s="208"/>
      <c r="O899" s="4"/>
    </row>
    <row r="900" spans="1:15" ht="15.75" x14ac:dyDescent="0.25">
      <c r="A900" s="5" t="s">
        <v>47</v>
      </c>
      <c r="B900" s="175" t="s">
        <v>112</v>
      </c>
      <c r="C900" s="175"/>
      <c r="D900" s="175"/>
      <c r="E900" s="175"/>
      <c r="F900" s="175"/>
      <c r="G900" s="175"/>
      <c r="H900" s="175"/>
      <c r="I900" s="175"/>
      <c r="J900" s="175"/>
      <c r="K900" s="175"/>
      <c r="L900" s="174" t="s">
        <v>74</v>
      </c>
      <c r="M900" s="174"/>
      <c r="N900" s="34">
        <v>24856.313681907079</v>
      </c>
      <c r="O900" s="4"/>
    </row>
    <row r="901" spans="1:15" x14ac:dyDescent="0.25">
      <c r="A901" s="6" t="s">
        <v>21</v>
      </c>
      <c r="B901" s="7" t="s">
        <v>92</v>
      </c>
      <c r="C901" s="6" t="s">
        <v>22</v>
      </c>
      <c r="D901" s="7">
        <v>2020</v>
      </c>
      <c r="E901" s="194" t="s">
        <v>20</v>
      </c>
      <c r="F901" s="194"/>
      <c r="G901" s="194"/>
      <c r="H901" s="195" t="s">
        <v>124</v>
      </c>
      <c r="I901" s="196"/>
      <c r="J901" s="196"/>
      <c r="K901" s="196"/>
      <c r="L901" s="196"/>
      <c r="M901" s="196"/>
      <c r="N901" s="197"/>
      <c r="O901" s="4"/>
    </row>
    <row r="902" spans="1:15" x14ac:dyDescent="0.25">
      <c r="A902" s="198" t="s">
        <v>48</v>
      </c>
      <c r="B902" s="199"/>
      <c r="C902" s="200"/>
      <c r="D902" s="204" t="s">
        <v>49</v>
      </c>
      <c r="E902" s="205"/>
      <c r="F902" s="205"/>
      <c r="G902" s="205"/>
      <c r="H902" s="206"/>
      <c r="I902" s="207" t="s">
        <v>50</v>
      </c>
      <c r="J902" s="207"/>
      <c r="K902" s="207"/>
      <c r="L902" s="207"/>
      <c r="M902" s="207"/>
      <c r="N902" s="207"/>
      <c r="O902" s="4"/>
    </row>
    <row r="903" spans="1:15" ht="30" x14ac:dyDescent="0.25">
      <c r="A903" s="201"/>
      <c r="B903" s="202"/>
      <c r="C903" s="203"/>
      <c r="D903" s="8" t="s">
        <v>51</v>
      </c>
      <c r="E903" s="8" t="s">
        <v>52</v>
      </c>
      <c r="F903" s="8" t="s">
        <v>53</v>
      </c>
      <c r="G903" s="8" t="s">
        <v>54</v>
      </c>
      <c r="H903" s="8" t="s">
        <v>55</v>
      </c>
      <c r="I903" s="33" t="s">
        <v>51</v>
      </c>
      <c r="J903" s="33" t="s">
        <v>52</v>
      </c>
      <c r="K903" s="33" t="s">
        <v>53</v>
      </c>
      <c r="L903" s="33" t="s">
        <v>54</v>
      </c>
      <c r="M903" s="201" t="s">
        <v>56</v>
      </c>
      <c r="N903" s="203"/>
      <c r="O903" s="4"/>
    </row>
    <row r="904" spans="1:15" x14ac:dyDescent="0.25">
      <c r="A904" s="181" t="s">
        <v>2</v>
      </c>
      <c r="B904" s="182"/>
      <c r="C904" s="183"/>
      <c r="D904" s="9" t="s">
        <v>57</v>
      </c>
      <c r="E904" s="9" t="s">
        <v>57</v>
      </c>
      <c r="F904" s="9" t="s">
        <v>57</v>
      </c>
      <c r="G904" s="9" t="s">
        <v>57</v>
      </c>
      <c r="H904" s="9"/>
      <c r="I904" s="15">
        <v>0</v>
      </c>
      <c r="J904" s="15">
        <v>0</v>
      </c>
      <c r="K904" s="15">
        <v>0</v>
      </c>
      <c r="L904" s="15">
        <v>0</v>
      </c>
      <c r="M904" s="190">
        <f>I904+J904+K904+L904</f>
        <v>0</v>
      </c>
      <c r="N904" s="191"/>
      <c r="O904" s="4"/>
    </row>
    <row r="905" spans="1:15" x14ac:dyDescent="0.25">
      <c r="A905" s="181" t="s">
        <v>3</v>
      </c>
      <c r="B905" s="182"/>
      <c r="C905" s="183"/>
      <c r="D905" s="9" t="s">
        <v>57</v>
      </c>
      <c r="E905" s="9" t="s">
        <v>57</v>
      </c>
      <c r="F905" s="9" t="s">
        <v>57</v>
      </c>
      <c r="G905" s="9" t="s">
        <v>57</v>
      </c>
      <c r="H905" s="9"/>
      <c r="I905" s="15">
        <v>0</v>
      </c>
      <c r="J905" s="15">
        <v>0</v>
      </c>
      <c r="K905" s="15">
        <v>0</v>
      </c>
      <c r="L905" s="15">
        <v>0</v>
      </c>
      <c r="M905" s="192">
        <f t="shared" ref="M905:M912" si="38">I905+J905+K905+L905</f>
        <v>0</v>
      </c>
      <c r="N905" s="193"/>
      <c r="O905" s="4"/>
    </row>
    <row r="906" spans="1:15" x14ac:dyDescent="0.25">
      <c r="A906" s="181" t="s">
        <v>4</v>
      </c>
      <c r="B906" s="182"/>
      <c r="C906" s="183"/>
      <c r="D906" s="9" t="s">
        <v>57</v>
      </c>
      <c r="E906" s="9" t="s">
        <v>57</v>
      </c>
      <c r="F906" s="9" t="s">
        <v>57</v>
      </c>
      <c r="G906" s="9" t="s">
        <v>57</v>
      </c>
      <c r="H906" s="9"/>
      <c r="I906" s="15">
        <v>0</v>
      </c>
      <c r="J906" s="15">
        <v>0</v>
      </c>
      <c r="K906" s="15">
        <v>0</v>
      </c>
      <c r="L906" s="15">
        <v>0</v>
      </c>
      <c r="M906" s="192">
        <f t="shared" si="38"/>
        <v>0</v>
      </c>
      <c r="N906" s="193"/>
      <c r="O906" s="4"/>
    </row>
    <row r="907" spans="1:15" x14ac:dyDescent="0.25">
      <c r="A907" s="181" t="s">
        <v>5</v>
      </c>
      <c r="B907" s="182"/>
      <c r="C907" s="183"/>
      <c r="D907" s="9" t="s">
        <v>57</v>
      </c>
      <c r="E907" s="9" t="s">
        <v>57</v>
      </c>
      <c r="F907" s="9" t="s">
        <v>57</v>
      </c>
      <c r="G907" s="9" t="s">
        <v>57</v>
      </c>
      <c r="H907" s="9"/>
      <c r="I907" s="15">
        <v>0</v>
      </c>
      <c r="J907" s="15">
        <v>0</v>
      </c>
      <c r="K907" s="15">
        <v>0</v>
      </c>
      <c r="L907" s="15">
        <v>0</v>
      </c>
      <c r="M907" s="192">
        <f t="shared" si="38"/>
        <v>0</v>
      </c>
      <c r="N907" s="193"/>
      <c r="O907" s="4"/>
    </row>
    <row r="908" spans="1:15" x14ac:dyDescent="0.25">
      <c r="A908" s="181" t="s">
        <v>6</v>
      </c>
      <c r="B908" s="182"/>
      <c r="C908" s="183"/>
      <c r="D908" s="9" t="s">
        <v>57</v>
      </c>
      <c r="E908" s="9" t="s">
        <v>57</v>
      </c>
      <c r="F908" s="9" t="s">
        <v>57</v>
      </c>
      <c r="G908" s="9" t="s">
        <v>57</v>
      </c>
      <c r="H908" s="9"/>
      <c r="I908" s="15">
        <v>0</v>
      </c>
      <c r="J908" s="15">
        <v>0</v>
      </c>
      <c r="K908" s="15">
        <v>0</v>
      </c>
      <c r="L908" s="15">
        <v>0</v>
      </c>
      <c r="M908" s="192">
        <f t="shared" si="38"/>
        <v>0</v>
      </c>
      <c r="N908" s="193"/>
      <c r="O908" s="4"/>
    </row>
    <row r="909" spans="1:15" x14ac:dyDescent="0.25">
      <c r="A909" s="181" t="s">
        <v>8</v>
      </c>
      <c r="B909" s="182"/>
      <c r="C909" s="183"/>
      <c r="D909" s="9" t="s">
        <v>57</v>
      </c>
      <c r="E909" s="9" t="s">
        <v>57</v>
      </c>
      <c r="F909" s="9" t="s">
        <v>57</v>
      </c>
      <c r="G909" s="9" t="s">
        <v>57</v>
      </c>
      <c r="H909" s="9"/>
      <c r="I909" s="15">
        <v>0</v>
      </c>
      <c r="J909" s="15">
        <v>0</v>
      </c>
      <c r="K909" s="15">
        <v>0</v>
      </c>
      <c r="L909" s="15">
        <v>0</v>
      </c>
      <c r="M909" s="192">
        <f t="shared" si="38"/>
        <v>0</v>
      </c>
      <c r="N909" s="193"/>
      <c r="O909" s="4"/>
    </row>
    <row r="910" spans="1:15" x14ac:dyDescent="0.25">
      <c r="A910" s="181" t="s">
        <v>38</v>
      </c>
      <c r="B910" s="182"/>
      <c r="C910" s="183"/>
      <c r="D910" s="9" t="s">
        <v>57</v>
      </c>
      <c r="E910" s="9" t="s">
        <v>57</v>
      </c>
      <c r="F910" s="9" t="s">
        <v>57</v>
      </c>
      <c r="G910" s="9" t="s">
        <v>57</v>
      </c>
      <c r="H910" s="9"/>
      <c r="I910" s="15">
        <v>0</v>
      </c>
      <c r="J910" s="15">
        <v>0</v>
      </c>
      <c r="K910" s="15">
        <v>0</v>
      </c>
      <c r="L910" s="15">
        <v>0</v>
      </c>
      <c r="M910" s="192">
        <f t="shared" si="38"/>
        <v>0</v>
      </c>
      <c r="N910" s="193"/>
      <c r="O910" s="4"/>
    </row>
    <row r="911" spans="1:15" x14ac:dyDescent="0.25">
      <c r="A911" s="181" t="s">
        <v>7</v>
      </c>
      <c r="B911" s="182"/>
      <c r="C911" s="183"/>
      <c r="D911" s="9" t="s">
        <v>57</v>
      </c>
      <c r="E911" s="9" t="s">
        <v>57</v>
      </c>
      <c r="F911" s="9" t="s">
        <v>57</v>
      </c>
      <c r="G911" s="9" t="s">
        <v>57</v>
      </c>
      <c r="H911" s="9"/>
      <c r="I911" s="15">
        <v>0</v>
      </c>
      <c r="J911" s="15">
        <v>0</v>
      </c>
      <c r="K911" s="15">
        <v>0</v>
      </c>
      <c r="L911" s="15">
        <v>0</v>
      </c>
      <c r="M911" s="192">
        <f t="shared" si="38"/>
        <v>0</v>
      </c>
      <c r="N911" s="193"/>
      <c r="O911" s="4"/>
    </row>
    <row r="912" spans="1:15" x14ac:dyDescent="0.25">
      <c r="A912" s="181" t="s">
        <v>90</v>
      </c>
      <c r="B912" s="182"/>
      <c r="C912" s="183"/>
      <c r="D912" s="9" t="s">
        <v>57</v>
      </c>
      <c r="E912" s="9" t="s">
        <v>57</v>
      </c>
      <c r="F912" s="9" t="s">
        <v>57</v>
      </c>
      <c r="G912" s="9" t="s">
        <v>57</v>
      </c>
      <c r="H912" s="9"/>
      <c r="I912" s="15">
        <v>0</v>
      </c>
      <c r="J912" s="15">
        <v>0</v>
      </c>
      <c r="K912" s="15">
        <v>0</v>
      </c>
      <c r="L912" s="15">
        <v>0</v>
      </c>
      <c r="M912" s="188">
        <f t="shared" si="38"/>
        <v>0</v>
      </c>
      <c r="N912" s="189"/>
      <c r="O912" s="4"/>
    </row>
    <row r="913" spans="1:15" x14ac:dyDescent="0.25">
      <c r="O913" s="4"/>
    </row>
    <row r="914" spans="1:15" ht="15.75" x14ac:dyDescent="0.25">
      <c r="A914" s="177" t="s">
        <v>58</v>
      </c>
      <c r="B914" s="177"/>
      <c r="C914" s="177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4"/>
    </row>
    <row r="915" spans="1:15" x14ac:dyDescent="0.25">
      <c r="A915" s="178"/>
      <c r="B915" s="179"/>
      <c r="C915" s="179"/>
      <c r="D915" s="179"/>
      <c r="E915" s="179"/>
      <c r="F915" s="179"/>
      <c r="G915" s="179"/>
      <c r="H915" s="179"/>
      <c r="I915" s="179"/>
      <c r="J915" s="179"/>
      <c r="K915" s="179"/>
      <c r="L915" s="179"/>
      <c r="M915" s="179"/>
      <c r="N915" s="180"/>
      <c r="O915" s="10">
        <f>A915</f>
        <v>0</v>
      </c>
    </row>
    <row r="916" spans="1:15" x14ac:dyDescent="0.25">
      <c r="A916" s="174" t="s">
        <v>59</v>
      </c>
      <c r="B916" s="174"/>
      <c r="C916" s="174"/>
      <c r="D916" s="174"/>
      <c r="E916" s="174"/>
      <c r="F916" s="174"/>
      <c r="G916" s="174"/>
      <c r="H916" s="174"/>
      <c r="I916" s="174"/>
      <c r="J916" s="174"/>
      <c r="K916" s="174"/>
      <c r="L916" s="174"/>
      <c r="M916" s="174"/>
      <c r="N916" s="174"/>
      <c r="O916" s="10"/>
    </row>
    <row r="917" spans="1:15" x14ac:dyDescent="0.25">
      <c r="A917" s="178"/>
      <c r="B917" s="179"/>
      <c r="C917" s="179"/>
      <c r="D917" s="179"/>
      <c r="E917" s="179"/>
      <c r="F917" s="179"/>
      <c r="G917" s="179"/>
      <c r="H917" s="179"/>
      <c r="I917" s="179"/>
      <c r="J917" s="179"/>
      <c r="K917" s="179"/>
      <c r="L917" s="179"/>
      <c r="M917" s="179"/>
      <c r="N917" s="180"/>
      <c r="O917" s="10">
        <f t="shared" ref="O917:O938" si="39">A917</f>
        <v>0</v>
      </c>
    </row>
    <row r="918" spans="1:15" x14ac:dyDescent="0.25">
      <c r="A918" s="176" t="s">
        <v>60</v>
      </c>
      <c r="B918" s="176"/>
      <c r="C918" s="176"/>
      <c r="D918" s="176"/>
      <c r="E918" s="176"/>
      <c r="F918" s="176"/>
      <c r="G918" s="176"/>
      <c r="H918" s="176"/>
      <c r="I918" s="176"/>
      <c r="J918" s="176"/>
      <c r="K918" s="176"/>
      <c r="L918" s="176"/>
      <c r="M918" s="176" t="s">
        <v>61</v>
      </c>
      <c r="N918" s="176"/>
      <c r="O918" s="10"/>
    </row>
    <row r="919" spans="1:15" x14ac:dyDescent="0.25">
      <c r="A919" s="176" t="s">
        <v>62</v>
      </c>
      <c r="B919" s="176"/>
      <c r="C919" s="176"/>
      <c r="D919" s="176"/>
      <c r="E919" s="176"/>
      <c r="F919" s="176"/>
      <c r="G919" s="176"/>
      <c r="H919" s="176"/>
      <c r="I919" s="176"/>
      <c r="J919" s="176"/>
      <c r="K919" s="176"/>
      <c r="L919" s="176"/>
      <c r="M919" s="176" t="s">
        <v>61</v>
      </c>
      <c r="N919" s="176"/>
      <c r="O919" s="10"/>
    </row>
    <row r="920" spans="1:15" x14ac:dyDescent="0.25">
      <c r="O920" s="10"/>
    </row>
    <row r="921" spans="1:15" ht="15.75" x14ac:dyDescent="0.25">
      <c r="A921" s="184" t="s">
        <v>63</v>
      </c>
      <c r="B921" s="185"/>
      <c r="C921" s="185"/>
      <c r="D921" s="185"/>
      <c r="E921" s="185"/>
      <c r="F921" s="185"/>
      <c r="G921" s="185"/>
      <c r="H921" s="185"/>
      <c r="I921" s="185"/>
      <c r="J921" s="185"/>
      <c r="K921" s="185"/>
      <c r="L921" s="185"/>
      <c r="M921" s="185"/>
      <c r="N921" s="186"/>
      <c r="O921" s="10"/>
    </row>
    <row r="922" spans="1:15" x14ac:dyDescent="0.25">
      <c r="A922" s="178"/>
      <c r="B922" s="179"/>
      <c r="C922" s="179"/>
      <c r="D922" s="179"/>
      <c r="E922" s="179"/>
      <c r="F922" s="179"/>
      <c r="G922" s="179"/>
      <c r="H922" s="179"/>
      <c r="I922" s="179"/>
      <c r="J922" s="179"/>
      <c r="K922" s="179"/>
      <c r="L922" s="179"/>
      <c r="M922" s="179"/>
      <c r="N922" s="179"/>
      <c r="O922" s="10">
        <f t="shared" si="39"/>
        <v>0</v>
      </c>
    </row>
    <row r="923" spans="1:15" x14ac:dyDescent="0.25">
      <c r="A923" s="174" t="s">
        <v>64</v>
      </c>
      <c r="B923" s="174"/>
      <c r="C923" s="174"/>
      <c r="D923" s="174"/>
      <c r="E923" s="174"/>
      <c r="F923" s="174"/>
      <c r="G923" s="174"/>
      <c r="H923" s="174"/>
      <c r="I923" s="174"/>
      <c r="J923" s="174"/>
      <c r="K923" s="174"/>
      <c r="L923" s="174"/>
      <c r="M923" s="174"/>
      <c r="N923" s="174"/>
      <c r="O923" s="10"/>
    </row>
    <row r="924" spans="1:15" x14ac:dyDescent="0.25">
      <c r="A924" s="178"/>
      <c r="B924" s="179"/>
      <c r="C924" s="179"/>
      <c r="D924" s="179"/>
      <c r="E924" s="179"/>
      <c r="F924" s="179"/>
      <c r="G924" s="179"/>
      <c r="H924" s="179"/>
      <c r="I924" s="179"/>
      <c r="J924" s="179"/>
      <c r="K924" s="179"/>
      <c r="L924" s="179"/>
      <c r="M924" s="179"/>
      <c r="N924" s="180"/>
      <c r="O924" s="10">
        <f t="shared" si="39"/>
        <v>0</v>
      </c>
    </row>
    <row r="925" spans="1:15" x14ac:dyDescent="0.25">
      <c r="A925" s="176" t="s">
        <v>60</v>
      </c>
      <c r="B925" s="176"/>
      <c r="C925" s="176"/>
      <c r="D925" s="176"/>
      <c r="E925" s="176"/>
      <c r="F925" s="176"/>
      <c r="G925" s="176"/>
      <c r="H925" s="176"/>
      <c r="I925" s="176"/>
      <c r="J925" s="176"/>
      <c r="K925" s="176"/>
      <c r="L925" s="176"/>
      <c r="M925" s="176" t="s">
        <v>61</v>
      </c>
      <c r="N925" s="176"/>
      <c r="O925" s="10"/>
    </row>
    <row r="926" spans="1:15" x14ac:dyDescent="0.25">
      <c r="A926" s="176" t="s">
        <v>62</v>
      </c>
      <c r="B926" s="176"/>
      <c r="C926" s="176"/>
      <c r="D926" s="176"/>
      <c r="E926" s="176"/>
      <c r="F926" s="176"/>
      <c r="G926" s="176"/>
      <c r="H926" s="176"/>
      <c r="I926" s="176"/>
      <c r="J926" s="176"/>
      <c r="K926" s="176"/>
      <c r="L926" s="176"/>
      <c r="M926" s="176" t="s">
        <v>61</v>
      </c>
      <c r="N926" s="176"/>
      <c r="O926" s="10"/>
    </row>
    <row r="927" spans="1:15" x14ac:dyDescent="0.25">
      <c r="O927" s="10"/>
    </row>
    <row r="928" spans="1:15" ht="15.75" x14ac:dyDescent="0.25">
      <c r="A928" s="177" t="s">
        <v>65</v>
      </c>
      <c r="B928" s="177"/>
      <c r="C928" s="177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0"/>
    </row>
    <row r="929" spans="1:15" x14ac:dyDescent="0.25">
      <c r="A929" s="178"/>
      <c r="B929" s="179"/>
      <c r="C929" s="179"/>
      <c r="D929" s="179"/>
      <c r="E929" s="179"/>
      <c r="F929" s="179"/>
      <c r="G929" s="179"/>
      <c r="H929" s="179"/>
      <c r="I929" s="179"/>
      <c r="J929" s="179"/>
      <c r="K929" s="179"/>
      <c r="L929" s="179"/>
      <c r="M929" s="179"/>
      <c r="N929" s="180"/>
      <c r="O929" s="10">
        <f t="shared" si="39"/>
        <v>0</v>
      </c>
    </row>
    <row r="930" spans="1:15" x14ac:dyDescent="0.25">
      <c r="A930" s="174" t="s">
        <v>66</v>
      </c>
      <c r="B930" s="174"/>
      <c r="C930" s="174"/>
      <c r="D930" s="174"/>
      <c r="E930" s="174"/>
      <c r="F930" s="174"/>
      <c r="G930" s="174"/>
      <c r="H930" s="174"/>
      <c r="I930" s="174"/>
      <c r="J930" s="174"/>
      <c r="K930" s="174"/>
      <c r="L930" s="174"/>
      <c r="M930" s="174"/>
      <c r="N930" s="174"/>
      <c r="O930" s="10"/>
    </row>
    <row r="931" spans="1:15" x14ac:dyDescent="0.25">
      <c r="A931" s="178"/>
      <c r="B931" s="179"/>
      <c r="C931" s="179"/>
      <c r="D931" s="179"/>
      <c r="E931" s="179"/>
      <c r="F931" s="179"/>
      <c r="G931" s="179"/>
      <c r="H931" s="179"/>
      <c r="I931" s="179"/>
      <c r="J931" s="179"/>
      <c r="K931" s="179"/>
      <c r="L931" s="179"/>
      <c r="M931" s="179"/>
      <c r="N931" s="180"/>
      <c r="O931" s="10">
        <f t="shared" si="39"/>
        <v>0</v>
      </c>
    </row>
    <row r="932" spans="1:15" x14ac:dyDescent="0.25">
      <c r="A932" s="187" t="s">
        <v>60</v>
      </c>
      <c r="B932" s="187"/>
      <c r="C932" s="187"/>
      <c r="D932" s="187"/>
      <c r="E932" s="187"/>
      <c r="F932" s="187"/>
      <c r="G932" s="187"/>
      <c r="H932" s="187"/>
      <c r="I932" s="187"/>
      <c r="J932" s="187"/>
      <c r="K932" s="187"/>
      <c r="L932" s="187"/>
      <c r="M932" s="176" t="s">
        <v>61</v>
      </c>
      <c r="N932" s="176"/>
      <c r="O932" s="10"/>
    </row>
    <row r="933" spans="1:15" x14ac:dyDescent="0.25">
      <c r="A933" s="187" t="s">
        <v>62</v>
      </c>
      <c r="B933" s="187"/>
      <c r="C933" s="187"/>
      <c r="D933" s="187"/>
      <c r="E933" s="187"/>
      <c r="F933" s="187"/>
      <c r="G933" s="187"/>
      <c r="H933" s="187"/>
      <c r="I933" s="187"/>
      <c r="J933" s="187"/>
      <c r="K933" s="187"/>
      <c r="L933" s="187"/>
      <c r="M933" s="176" t="s">
        <v>61</v>
      </c>
      <c r="N933" s="176"/>
      <c r="O933" s="10"/>
    </row>
    <row r="934" spans="1:15" x14ac:dyDescent="0.25">
      <c r="O934" s="10"/>
    </row>
    <row r="935" spans="1:15" ht="15.75" x14ac:dyDescent="0.25">
      <c r="A935" s="184" t="s">
        <v>67</v>
      </c>
      <c r="B935" s="185"/>
      <c r="C935" s="185"/>
      <c r="D935" s="185"/>
      <c r="E935" s="185"/>
      <c r="F935" s="185"/>
      <c r="G935" s="185"/>
      <c r="H935" s="185"/>
      <c r="I935" s="185"/>
      <c r="J935" s="185"/>
      <c r="K935" s="185"/>
      <c r="L935" s="185"/>
      <c r="M935" s="185"/>
      <c r="N935" s="186"/>
      <c r="O935" s="10"/>
    </row>
    <row r="936" spans="1:15" x14ac:dyDescent="0.25">
      <c r="A936" s="178"/>
      <c r="B936" s="179"/>
      <c r="C936" s="179"/>
      <c r="D936" s="179"/>
      <c r="E936" s="179"/>
      <c r="F936" s="179"/>
      <c r="G936" s="179"/>
      <c r="H936" s="179"/>
      <c r="I936" s="179"/>
      <c r="J936" s="179"/>
      <c r="K936" s="179"/>
      <c r="L936" s="179"/>
      <c r="M936" s="179"/>
      <c r="N936" s="180"/>
      <c r="O936" s="10">
        <f t="shared" si="39"/>
        <v>0</v>
      </c>
    </row>
    <row r="937" spans="1:15" x14ac:dyDescent="0.25">
      <c r="A937" s="174" t="s">
        <v>68</v>
      </c>
      <c r="B937" s="174"/>
      <c r="C937" s="174"/>
      <c r="D937" s="174"/>
      <c r="E937" s="174"/>
      <c r="F937" s="174"/>
      <c r="G937" s="174"/>
      <c r="H937" s="174"/>
      <c r="I937" s="174"/>
      <c r="J937" s="174"/>
      <c r="K937" s="174"/>
      <c r="L937" s="174"/>
      <c r="M937" s="174"/>
      <c r="N937" s="174"/>
      <c r="O937" s="10"/>
    </row>
    <row r="938" spans="1:15" x14ac:dyDescent="0.25">
      <c r="A938" s="178"/>
      <c r="B938" s="179"/>
      <c r="C938" s="179"/>
      <c r="D938" s="179"/>
      <c r="E938" s="179"/>
      <c r="F938" s="179"/>
      <c r="G938" s="179"/>
      <c r="H938" s="179"/>
      <c r="I938" s="179"/>
      <c r="J938" s="179"/>
      <c r="K938" s="179"/>
      <c r="L938" s="179"/>
      <c r="M938" s="179"/>
      <c r="N938" s="180"/>
      <c r="O938" s="10">
        <f t="shared" si="39"/>
        <v>0</v>
      </c>
    </row>
    <row r="939" spans="1:15" x14ac:dyDescent="0.25">
      <c r="A939" s="176" t="s">
        <v>60</v>
      </c>
      <c r="B939" s="176"/>
      <c r="C939" s="176"/>
      <c r="D939" s="176"/>
      <c r="E939" s="176"/>
      <c r="F939" s="176"/>
      <c r="G939" s="176"/>
      <c r="H939" s="176"/>
      <c r="I939" s="176"/>
      <c r="J939" s="176"/>
      <c r="K939" s="176"/>
      <c r="L939" s="176"/>
      <c r="M939" s="176" t="s">
        <v>61</v>
      </c>
      <c r="N939" s="176"/>
      <c r="O939" s="10"/>
    </row>
    <row r="940" spans="1:15" x14ac:dyDescent="0.25">
      <c r="A940" s="176" t="s">
        <v>62</v>
      </c>
      <c r="B940" s="176"/>
      <c r="C940" s="176"/>
      <c r="D940" s="176"/>
      <c r="E940" s="176"/>
      <c r="F940" s="176"/>
      <c r="G940" s="176"/>
      <c r="H940" s="176"/>
      <c r="I940" s="176"/>
      <c r="J940" s="176"/>
      <c r="K940" s="176"/>
      <c r="L940" s="176"/>
      <c r="M940" s="176" t="s">
        <v>61</v>
      </c>
      <c r="N940" s="176"/>
      <c r="O940" s="10"/>
    </row>
    <row r="941" spans="1:15" x14ac:dyDescent="0.25">
      <c r="A941" s="209" t="s">
        <v>91</v>
      </c>
      <c r="B941" s="209"/>
      <c r="C941" s="209"/>
      <c r="D941" s="209"/>
      <c r="E941" s="209"/>
      <c r="F941" s="209"/>
      <c r="G941" s="209"/>
      <c r="H941" s="209"/>
      <c r="I941" s="209"/>
      <c r="J941" s="209"/>
      <c r="K941" s="209"/>
      <c r="L941" s="209"/>
      <c r="M941" s="209"/>
      <c r="N941" s="209"/>
      <c r="O941" s="4"/>
    </row>
    <row r="942" spans="1:15" x14ac:dyDescent="0.25">
      <c r="A942" s="209" t="s">
        <v>89</v>
      </c>
      <c r="B942" s="209"/>
      <c r="C942" s="209"/>
      <c r="D942" s="209"/>
      <c r="E942" s="209"/>
      <c r="F942" s="209"/>
      <c r="G942" s="209"/>
      <c r="H942" s="209"/>
      <c r="I942" s="209"/>
      <c r="J942" s="209"/>
      <c r="K942" s="209"/>
      <c r="L942" s="209"/>
      <c r="M942" s="209"/>
      <c r="N942" s="209"/>
      <c r="O942" s="4"/>
    </row>
    <row r="943" spans="1:15" x14ac:dyDescent="0.25">
      <c r="A943" s="209" t="s">
        <v>44</v>
      </c>
      <c r="B943" s="209"/>
      <c r="C943" s="209"/>
      <c r="D943" s="209"/>
      <c r="E943" s="209"/>
      <c r="F943" s="209"/>
      <c r="G943" s="209"/>
      <c r="H943" s="209"/>
      <c r="I943" s="209"/>
      <c r="J943" s="209"/>
      <c r="K943" s="209"/>
      <c r="L943" s="209"/>
      <c r="M943" s="209"/>
      <c r="N943" s="209"/>
      <c r="O943" s="4"/>
    </row>
    <row r="944" spans="1:15" ht="15.75" x14ac:dyDescent="0.25">
      <c r="A944" s="210" t="s">
        <v>72</v>
      </c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0"/>
      <c r="M944" s="210"/>
      <c r="N944" s="210"/>
      <c r="O944" s="4"/>
    </row>
    <row r="945" spans="1:15" ht="15.75" x14ac:dyDescent="0.25">
      <c r="A945" s="211" t="s">
        <v>125</v>
      </c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211"/>
      <c r="N945" s="211"/>
      <c r="O945" s="4"/>
    </row>
    <row r="946" spans="1:15" ht="15.75" x14ac:dyDescent="0.25">
      <c r="A946" s="5" t="s">
        <v>46</v>
      </c>
      <c r="B946" s="208" t="s">
        <v>123</v>
      </c>
      <c r="C946" s="208"/>
      <c r="D946" s="208"/>
      <c r="E946" s="208"/>
      <c r="F946" s="208"/>
      <c r="G946" s="208"/>
      <c r="H946" s="208"/>
      <c r="I946" s="208"/>
      <c r="J946" s="208"/>
      <c r="K946" s="208"/>
      <c r="L946" s="208"/>
      <c r="M946" s="208"/>
      <c r="N946" s="208"/>
      <c r="O946" s="4"/>
    </row>
    <row r="947" spans="1:15" ht="15.75" x14ac:dyDescent="0.25">
      <c r="A947" s="5" t="s">
        <v>47</v>
      </c>
      <c r="B947" s="175" t="s">
        <v>113</v>
      </c>
      <c r="C947" s="175"/>
      <c r="D947" s="175"/>
      <c r="E947" s="175"/>
      <c r="F947" s="175"/>
      <c r="G947" s="175"/>
      <c r="H947" s="175"/>
      <c r="I947" s="175"/>
      <c r="J947" s="175"/>
      <c r="K947" s="175"/>
      <c r="L947" s="174" t="s">
        <v>74</v>
      </c>
      <c r="M947" s="174"/>
      <c r="N947" s="34">
        <v>11345.347878404857</v>
      </c>
      <c r="O947" s="4"/>
    </row>
    <row r="948" spans="1:15" x14ac:dyDescent="0.25">
      <c r="A948" s="6" t="s">
        <v>21</v>
      </c>
      <c r="B948" s="7" t="s">
        <v>92</v>
      </c>
      <c r="C948" s="6" t="s">
        <v>22</v>
      </c>
      <c r="D948" s="7">
        <v>2020</v>
      </c>
      <c r="E948" s="194" t="s">
        <v>20</v>
      </c>
      <c r="F948" s="194"/>
      <c r="G948" s="194"/>
      <c r="H948" s="195" t="s">
        <v>124</v>
      </c>
      <c r="I948" s="196"/>
      <c r="J948" s="196"/>
      <c r="K948" s="196"/>
      <c r="L948" s="196"/>
      <c r="M948" s="196"/>
      <c r="N948" s="197"/>
      <c r="O948" s="4"/>
    </row>
    <row r="949" spans="1:15" x14ac:dyDescent="0.25">
      <c r="A949" s="198" t="s">
        <v>48</v>
      </c>
      <c r="B949" s="199"/>
      <c r="C949" s="200"/>
      <c r="D949" s="204" t="s">
        <v>49</v>
      </c>
      <c r="E949" s="205"/>
      <c r="F949" s="205"/>
      <c r="G949" s="205"/>
      <c r="H949" s="206"/>
      <c r="I949" s="207" t="s">
        <v>50</v>
      </c>
      <c r="J949" s="207"/>
      <c r="K949" s="207"/>
      <c r="L949" s="207"/>
      <c r="M949" s="207"/>
      <c r="N949" s="207"/>
      <c r="O949" s="4"/>
    </row>
    <row r="950" spans="1:15" ht="30" x14ac:dyDescent="0.25">
      <c r="A950" s="201"/>
      <c r="B950" s="202"/>
      <c r="C950" s="203"/>
      <c r="D950" s="8" t="s">
        <v>51</v>
      </c>
      <c r="E950" s="8" t="s">
        <v>52</v>
      </c>
      <c r="F950" s="8" t="s">
        <v>53</v>
      </c>
      <c r="G950" s="8" t="s">
        <v>54</v>
      </c>
      <c r="H950" s="8" t="s">
        <v>55</v>
      </c>
      <c r="I950" s="33" t="s">
        <v>51</v>
      </c>
      <c r="J950" s="33" t="s">
        <v>52</v>
      </c>
      <c r="K950" s="33" t="s">
        <v>53</v>
      </c>
      <c r="L950" s="33" t="s">
        <v>54</v>
      </c>
      <c r="M950" s="201" t="s">
        <v>56</v>
      </c>
      <c r="N950" s="203"/>
      <c r="O950" s="4"/>
    </row>
    <row r="951" spans="1:15" x14ac:dyDescent="0.25">
      <c r="A951" s="181" t="s">
        <v>2</v>
      </c>
      <c r="B951" s="182"/>
      <c r="C951" s="183"/>
      <c r="D951" s="9" t="s">
        <v>57</v>
      </c>
      <c r="E951" s="9" t="s">
        <v>57</v>
      </c>
      <c r="F951" s="9" t="s">
        <v>57</v>
      </c>
      <c r="G951" s="9" t="s">
        <v>57</v>
      </c>
      <c r="H951" s="9"/>
      <c r="I951" s="15">
        <v>0</v>
      </c>
      <c r="J951" s="15">
        <v>0</v>
      </c>
      <c r="K951" s="15">
        <v>0</v>
      </c>
      <c r="L951" s="15">
        <v>0</v>
      </c>
      <c r="M951" s="190">
        <f>I951+J951+K951+L951</f>
        <v>0</v>
      </c>
      <c r="N951" s="191"/>
      <c r="O951" s="4"/>
    </row>
    <row r="952" spans="1:15" x14ac:dyDescent="0.25">
      <c r="A952" s="181" t="s">
        <v>3</v>
      </c>
      <c r="B952" s="182"/>
      <c r="C952" s="183"/>
      <c r="D952" s="9" t="s">
        <v>57</v>
      </c>
      <c r="E952" s="9" t="s">
        <v>57</v>
      </c>
      <c r="F952" s="9" t="s">
        <v>57</v>
      </c>
      <c r="G952" s="9" t="s">
        <v>57</v>
      </c>
      <c r="H952" s="9"/>
      <c r="I952" s="15">
        <v>0</v>
      </c>
      <c r="J952" s="15">
        <v>0</v>
      </c>
      <c r="K952" s="15">
        <v>0</v>
      </c>
      <c r="L952" s="15">
        <v>0</v>
      </c>
      <c r="M952" s="192">
        <f t="shared" ref="M952:M959" si="40">I952+J952+K952+L952</f>
        <v>0</v>
      </c>
      <c r="N952" s="193"/>
      <c r="O952" s="4"/>
    </row>
    <row r="953" spans="1:15" x14ac:dyDescent="0.25">
      <c r="A953" s="181" t="s">
        <v>4</v>
      </c>
      <c r="B953" s="182"/>
      <c r="C953" s="183"/>
      <c r="D953" s="9" t="s">
        <v>57</v>
      </c>
      <c r="E953" s="9" t="s">
        <v>57</v>
      </c>
      <c r="F953" s="9" t="s">
        <v>57</v>
      </c>
      <c r="G953" s="9" t="s">
        <v>57</v>
      </c>
      <c r="H953" s="9"/>
      <c r="I953" s="15">
        <v>0</v>
      </c>
      <c r="J953" s="15">
        <v>0</v>
      </c>
      <c r="K953" s="15">
        <v>0</v>
      </c>
      <c r="L953" s="15">
        <v>0</v>
      </c>
      <c r="M953" s="192">
        <f t="shared" si="40"/>
        <v>0</v>
      </c>
      <c r="N953" s="193"/>
      <c r="O953" s="4"/>
    </row>
    <row r="954" spans="1:15" x14ac:dyDescent="0.25">
      <c r="A954" s="181" t="s">
        <v>5</v>
      </c>
      <c r="B954" s="182"/>
      <c r="C954" s="183"/>
      <c r="D954" s="9" t="s">
        <v>57</v>
      </c>
      <c r="E954" s="9" t="s">
        <v>57</v>
      </c>
      <c r="F954" s="9" t="s">
        <v>57</v>
      </c>
      <c r="G954" s="9" t="s">
        <v>57</v>
      </c>
      <c r="H954" s="9"/>
      <c r="I954" s="15">
        <v>0</v>
      </c>
      <c r="J954" s="15">
        <v>0</v>
      </c>
      <c r="K954" s="15">
        <v>0</v>
      </c>
      <c r="L954" s="15">
        <v>0</v>
      </c>
      <c r="M954" s="192">
        <f t="shared" si="40"/>
        <v>0</v>
      </c>
      <c r="N954" s="193"/>
      <c r="O954" s="4"/>
    </row>
    <row r="955" spans="1:15" x14ac:dyDescent="0.25">
      <c r="A955" s="181" t="s">
        <v>6</v>
      </c>
      <c r="B955" s="182"/>
      <c r="C955" s="183"/>
      <c r="D955" s="9" t="s">
        <v>57</v>
      </c>
      <c r="E955" s="9" t="s">
        <v>57</v>
      </c>
      <c r="F955" s="9" t="s">
        <v>57</v>
      </c>
      <c r="G955" s="9" t="s">
        <v>57</v>
      </c>
      <c r="H955" s="9"/>
      <c r="I955" s="15">
        <v>0</v>
      </c>
      <c r="J955" s="15">
        <v>0</v>
      </c>
      <c r="K955" s="15">
        <v>0</v>
      </c>
      <c r="L955" s="15">
        <v>0</v>
      </c>
      <c r="M955" s="192">
        <f t="shared" si="40"/>
        <v>0</v>
      </c>
      <c r="N955" s="193"/>
      <c r="O955" s="4"/>
    </row>
    <row r="956" spans="1:15" x14ac:dyDescent="0.25">
      <c r="A956" s="181" t="s">
        <v>8</v>
      </c>
      <c r="B956" s="182"/>
      <c r="C956" s="183"/>
      <c r="D956" s="9" t="s">
        <v>57</v>
      </c>
      <c r="E956" s="9" t="s">
        <v>57</v>
      </c>
      <c r="F956" s="9" t="s">
        <v>57</v>
      </c>
      <c r="G956" s="9" t="s">
        <v>57</v>
      </c>
      <c r="H956" s="9"/>
      <c r="I956" s="15">
        <v>0</v>
      </c>
      <c r="J956" s="15">
        <v>0</v>
      </c>
      <c r="K956" s="15">
        <v>0</v>
      </c>
      <c r="L956" s="15">
        <v>0</v>
      </c>
      <c r="M956" s="192">
        <f t="shared" si="40"/>
        <v>0</v>
      </c>
      <c r="N956" s="193"/>
      <c r="O956" s="4"/>
    </row>
    <row r="957" spans="1:15" x14ac:dyDescent="0.25">
      <c r="A957" s="181" t="s">
        <v>38</v>
      </c>
      <c r="B957" s="182"/>
      <c r="C957" s="183"/>
      <c r="D957" s="9" t="s">
        <v>57</v>
      </c>
      <c r="E957" s="9" t="s">
        <v>57</v>
      </c>
      <c r="F957" s="9" t="s">
        <v>57</v>
      </c>
      <c r="G957" s="9" t="s">
        <v>57</v>
      </c>
      <c r="H957" s="9"/>
      <c r="I957" s="15">
        <v>0</v>
      </c>
      <c r="J957" s="15">
        <v>0</v>
      </c>
      <c r="K957" s="15">
        <v>0</v>
      </c>
      <c r="L957" s="15">
        <v>0</v>
      </c>
      <c r="M957" s="192">
        <f t="shared" si="40"/>
        <v>0</v>
      </c>
      <c r="N957" s="193"/>
      <c r="O957" s="4"/>
    </row>
    <row r="958" spans="1:15" x14ac:dyDescent="0.25">
      <c r="A958" s="181" t="s">
        <v>7</v>
      </c>
      <c r="B958" s="182"/>
      <c r="C958" s="183"/>
      <c r="D958" s="9" t="s">
        <v>57</v>
      </c>
      <c r="E958" s="9" t="s">
        <v>57</v>
      </c>
      <c r="F958" s="9" t="s">
        <v>57</v>
      </c>
      <c r="G958" s="9" t="s">
        <v>57</v>
      </c>
      <c r="H958" s="9"/>
      <c r="I958" s="15">
        <v>0</v>
      </c>
      <c r="J958" s="15">
        <v>0</v>
      </c>
      <c r="K958" s="15">
        <v>0</v>
      </c>
      <c r="L958" s="15">
        <v>0</v>
      </c>
      <c r="M958" s="192">
        <f t="shared" si="40"/>
        <v>0</v>
      </c>
      <c r="N958" s="193"/>
      <c r="O958" s="4"/>
    </row>
    <row r="959" spans="1:15" x14ac:dyDescent="0.25">
      <c r="A959" s="181" t="s">
        <v>90</v>
      </c>
      <c r="B959" s="182"/>
      <c r="C959" s="183"/>
      <c r="D959" s="9" t="s">
        <v>57</v>
      </c>
      <c r="E959" s="9" t="s">
        <v>57</v>
      </c>
      <c r="F959" s="9" t="s">
        <v>57</v>
      </c>
      <c r="G959" s="9" t="s">
        <v>57</v>
      </c>
      <c r="H959" s="9"/>
      <c r="I959" s="15">
        <v>0</v>
      </c>
      <c r="J959" s="15">
        <v>0</v>
      </c>
      <c r="K959" s="15">
        <v>0</v>
      </c>
      <c r="L959" s="15">
        <v>0</v>
      </c>
      <c r="M959" s="188">
        <f t="shared" si="40"/>
        <v>0</v>
      </c>
      <c r="N959" s="189"/>
      <c r="O959" s="4"/>
    </row>
    <row r="960" spans="1:15" x14ac:dyDescent="0.25">
      <c r="O960" s="4"/>
    </row>
    <row r="961" spans="1:15" ht="15.75" x14ac:dyDescent="0.25">
      <c r="A961" s="177" t="s">
        <v>58</v>
      </c>
      <c r="B961" s="177"/>
      <c r="C961" s="177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4"/>
    </row>
    <row r="962" spans="1:15" x14ac:dyDescent="0.25">
      <c r="A962" s="178"/>
      <c r="B962" s="179"/>
      <c r="C962" s="179"/>
      <c r="D962" s="179"/>
      <c r="E962" s="179"/>
      <c r="F962" s="179"/>
      <c r="G962" s="179"/>
      <c r="H962" s="179"/>
      <c r="I962" s="179"/>
      <c r="J962" s="179"/>
      <c r="K962" s="179"/>
      <c r="L962" s="179"/>
      <c r="M962" s="179"/>
      <c r="N962" s="180"/>
      <c r="O962" s="10">
        <f>A962</f>
        <v>0</v>
      </c>
    </row>
    <row r="963" spans="1:15" x14ac:dyDescent="0.25">
      <c r="A963" s="174" t="s">
        <v>59</v>
      </c>
      <c r="B963" s="174"/>
      <c r="C963" s="174"/>
      <c r="D963" s="174"/>
      <c r="E963" s="174"/>
      <c r="F963" s="174"/>
      <c r="G963" s="174"/>
      <c r="H963" s="174"/>
      <c r="I963" s="174"/>
      <c r="J963" s="174"/>
      <c r="K963" s="174"/>
      <c r="L963" s="174"/>
      <c r="M963" s="174"/>
      <c r="N963" s="174"/>
      <c r="O963" s="10"/>
    </row>
    <row r="964" spans="1:15" x14ac:dyDescent="0.25">
      <c r="A964" s="178"/>
      <c r="B964" s="179"/>
      <c r="C964" s="179"/>
      <c r="D964" s="179"/>
      <c r="E964" s="179"/>
      <c r="F964" s="179"/>
      <c r="G964" s="179"/>
      <c r="H964" s="179"/>
      <c r="I964" s="179"/>
      <c r="J964" s="179"/>
      <c r="K964" s="179"/>
      <c r="L964" s="179"/>
      <c r="M964" s="179"/>
      <c r="N964" s="180"/>
      <c r="O964" s="10">
        <f t="shared" ref="O964:O985" si="41">A964</f>
        <v>0</v>
      </c>
    </row>
    <row r="965" spans="1:15" x14ac:dyDescent="0.25">
      <c r="A965" s="176" t="s">
        <v>60</v>
      </c>
      <c r="B965" s="176"/>
      <c r="C965" s="176"/>
      <c r="D965" s="176"/>
      <c r="E965" s="176"/>
      <c r="F965" s="176"/>
      <c r="G965" s="176"/>
      <c r="H965" s="176"/>
      <c r="I965" s="176"/>
      <c r="J965" s="176"/>
      <c r="K965" s="176"/>
      <c r="L965" s="176"/>
      <c r="M965" s="176" t="s">
        <v>61</v>
      </c>
      <c r="N965" s="176"/>
      <c r="O965" s="10"/>
    </row>
    <row r="966" spans="1:15" x14ac:dyDescent="0.25">
      <c r="A966" s="176" t="s">
        <v>62</v>
      </c>
      <c r="B966" s="176"/>
      <c r="C966" s="176"/>
      <c r="D966" s="176"/>
      <c r="E966" s="176"/>
      <c r="F966" s="176"/>
      <c r="G966" s="176"/>
      <c r="H966" s="176"/>
      <c r="I966" s="176"/>
      <c r="J966" s="176"/>
      <c r="K966" s="176"/>
      <c r="L966" s="176"/>
      <c r="M966" s="176" t="s">
        <v>61</v>
      </c>
      <c r="N966" s="176"/>
      <c r="O966" s="10"/>
    </row>
    <row r="967" spans="1:15" x14ac:dyDescent="0.25">
      <c r="O967" s="10"/>
    </row>
    <row r="968" spans="1:15" ht="15.75" x14ac:dyDescent="0.25">
      <c r="A968" s="184" t="s">
        <v>63</v>
      </c>
      <c r="B968" s="185"/>
      <c r="C968" s="185"/>
      <c r="D968" s="185"/>
      <c r="E968" s="185"/>
      <c r="F968" s="185"/>
      <c r="G968" s="185"/>
      <c r="H968" s="185"/>
      <c r="I968" s="185"/>
      <c r="J968" s="185"/>
      <c r="K968" s="185"/>
      <c r="L968" s="185"/>
      <c r="M968" s="185"/>
      <c r="N968" s="186"/>
      <c r="O968" s="10"/>
    </row>
    <row r="969" spans="1:15" x14ac:dyDescent="0.25">
      <c r="A969" s="178"/>
      <c r="B969" s="179"/>
      <c r="C969" s="179"/>
      <c r="D969" s="179"/>
      <c r="E969" s="179"/>
      <c r="F969" s="179"/>
      <c r="G969" s="179"/>
      <c r="H969" s="179"/>
      <c r="I969" s="179"/>
      <c r="J969" s="179"/>
      <c r="K969" s="179"/>
      <c r="L969" s="179"/>
      <c r="M969" s="179"/>
      <c r="N969" s="179"/>
      <c r="O969" s="10">
        <f t="shared" si="41"/>
        <v>0</v>
      </c>
    </row>
    <row r="970" spans="1:15" x14ac:dyDescent="0.25">
      <c r="A970" s="174" t="s">
        <v>64</v>
      </c>
      <c r="B970" s="174"/>
      <c r="C970" s="174"/>
      <c r="D970" s="174"/>
      <c r="E970" s="174"/>
      <c r="F970" s="174"/>
      <c r="G970" s="174"/>
      <c r="H970" s="174"/>
      <c r="I970" s="174"/>
      <c r="J970" s="174"/>
      <c r="K970" s="174"/>
      <c r="L970" s="174"/>
      <c r="M970" s="174"/>
      <c r="N970" s="174"/>
      <c r="O970" s="10"/>
    </row>
    <row r="971" spans="1:15" x14ac:dyDescent="0.25">
      <c r="A971" s="178"/>
      <c r="B971" s="179"/>
      <c r="C971" s="179"/>
      <c r="D971" s="179"/>
      <c r="E971" s="179"/>
      <c r="F971" s="179"/>
      <c r="G971" s="179"/>
      <c r="H971" s="179"/>
      <c r="I971" s="179"/>
      <c r="J971" s="179"/>
      <c r="K971" s="179"/>
      <c r="L971" s="179"/>
      <c r="M971" s="179"/>
      <c r="N971" s="180"/>
      <c r="O971" s="10">
        <f t="shared" si="41"/>
        <v>0</v>
      </c>
    </row>
    <row r="972" spans="1:15" x14ac:dyDescent="0.25">
      <c r="A972" s="176" t="s">
        <v>60</v>
      </c>
      <c r="B972" s="176"/>
      <c r="C972" s="176"/>
      <c r="D972" s="176"/>
      <c r="E972" s="176"/>
      <c r="F972" s="176"/>
      <c r="G972" s="176"/>
      <c r="H972" s="176"/>
      <c r="I972" s="176"/>
      <c r="J972" s="176"/>
      <c r="K972" s="176"/>
      <c r="L972" s="176"/>
      <c r="M972" s="176" t="s">
        <v>61</v>
      </c>
      <c r="N972" s="176"/>
      <c r="O972" s="10"/>
    </row>
    <row r="973" spans="1:15" x14ac:dyDescent="0.25">
      <c r="A973" s="176" t="s">
        <v>62</v>
      </c>
      <c r="B973" s="176"/>
      <c r="C973" s="176"/>
      <c r="D973" s="176"/>
      <c r="E973" s="176"/>
      <c r="F973" s="176"/>
      <c r="G973" s="176"/>
      <c r="H973" s="176"/>
      <c r="I973" s="176"/>
      <c r="J973" s="176"/>
      <c r="K973" s="176"/>
      <c r="L973" s="176"/>
      <c r="M973" s="176" t="s">
        <v>61</v>
      </c>
      <c r="N973" s="176"/>
      <c r="O973" s="10"/>
    </row>
    <row r="974" spans="1:15" x14ac:dyDescent="0.25">
      <c r="O974" s="10"/>
    </row>
    <row r="975" spans="1:15" ht="15.75" x14ac:dyDescent="0.25">
      <c r="A975" s="177" t="s">
        <v>65</v>
      </c>
      <c r="B975" s="177"/>
      <c r="C975" s="177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0"/>
    </row>
    <row r="976" spans="1:15" x14ac:dyDescent="0.25">
      <c r="A976" s="178"/>
      <c r="B976" s="179"/>
      <c r="C976" s="179"/>
      <c r="D976" s="179"/>
      <c r="E976" s="179"/>
      <c r="F976" s="179"/>
      <c r="G976" s="179"/>
      <c r="H976" s="179"/>
      <c r="I976" s="179"/>
      <c r="J976" s="179"/>
      <c r="K976" s="179"/>
      <c r="L976" s="179"/>
      <c r="M976" s="179"/>
      <c r="N976" s="180"/>
      <c r="O976" s="10">
        <f t="shared" si="41"/>
        <v>0</v>
      </c>
    </row>
    <row r="977" spans="1:15" x14ac:dyDescent="0.25">
      <c r="A977" s="174" t="s">
        <v>66</v>
      </c>
      <c r="B977" s="174"/>
      <c r="C977" s="174"/>
      <c r="D977" s="174"/>
      <c r="E977" s="174"/>
      <c r="F977" s="174"/>
      <c r="G977" s="174"/>
      <c r="H977" s="174"/>
      <c r="I977" s="174"/>
      <c r="J977" s="174"/>
      <c r="K977" s="174"/>
      <c r="L977" s="174"/>
      <c r="M977" s="174"/>
      <c r="N977" s="174"/>
      <c r="O977" s="10"/>
    </row>
    <row r="978" spans="1:15" x14ac:dyDescent="0.25">
      <c r="A978" s="178"/>
      <c r="B978" s="179"/>
      <c r="C978" s="179"/>
      <c r="D978" s="179"/>
      <c r="E978" s="179"/>
      <c r="F978" s="179"/>
      <c r="G978" s="179"/>
      <c r="H978" s="179"/>
      <c r="I978" s="179"/>
      <c r="J978" s="179"/>
      <c r="K978" s="179"/>
      <c r="L978" s="179"/>
      <c r="M978" s="179"/>
      <c r="N978" s="180"/>
      <c r="O978" s="10">
        <f t="shared" si="41"/>
        <v>0</v>
      </c>
    </row>
    <row r="979" spans="1:15" x14ac:dyDescent="0.25">
      <c r="A979" s="187" t="s">
        <v>60</v>
      </c>
      <c r="B979" s="187"/>
      <c r="C979" s="187"/>
      <c r="D979" s="187"/>
      <c r="E979" s="187"/>
      <c r="F979" s="187"/>
      <c r="G979" s="187"/>
      <c r="H979" s="187"/>
      <c r="I979" s="187"/>
      <c r="J979" s="187"/>
      <c r="K979" s="187"/>
      <c r="L979" s="187"/>
      <c r="M979" s="176" t="s">
        <v>61</v>
      </c>
      <c r="N979" s="176"/>
      <c r="O979" s="10"/>
    </row>
    <row r="980" spans="1:15" x14ac:dyDescent="0.25">
      <c r="A980" s="187" t="s">
        <v>62</v>
      </c>
      <c r="B980" s="187"/>
      <c r="C980" s="187"/>
      <c r="D980" s="187"/>
      <c r="E980" s="187"/>
      <c r="F980" s="187"/>
      <c r="G980" s="187"/>
      <c r="H980" s="187"/>
      <c r="I980" s="187"/>
      <c r="J980" s="187"/>
      <c r="K980" s="187"/>
      <c r="L980" s="187"/>
      <c r="M980" s="176" t="s">
        <v>61</v>
      </c>
      <c r="N980" s="176"/>
      <c r="O980" s="10"/>
    </row>
    <row r="981" spans="1:15" x14ac:dyDescent="0.25">
      <c r="O981" s="10"/>
    </row>
    <row r="982" spans="1:15" ht="15.75" x14ac:dyDescent="0.25">
      <c r="A982" s="184" t="s">
        <v>67</v>
      </c>
      <c r="B982" s="185"/>
      <c r="C982" s="185"/>
      <c r="D982" s="185"/>
      <c r="E982" s="185"/>
      <c r="F982" s="185"/>
      <c r="G982" s="185"/>
      <c r="H982" s="185"/>
      <c r="I982" s="185"/>
      <c r="J982" s="185"/>
      <c r="K982" s="185"/>
      <c r="L982" s="185"/>
      <c r="M982" s="185"/>
      <c r="N982" s="186"/>
      <c r="O982" s="10"/>
    </row>
    <row r="983" spans="1:15" x14ac:dyDescent="0.25">
      <c r="A983" s="178"/>
      <c r="B983" s="179"/>
      <c r="C983" s="179"/>
      <c r="D983" s="179"/>
      <c r="E983" s="179"/>
      <c r="F983" s="179"/>
      <c r="G983" s="179"/>
      <c r="H983" s="179"/>
      <c r="I983" s="179"/>
      <c r="J983" s="179"/>
      <c r="K983" s="179"/>
      <c r="L983" s="179"/>
      <c r="M983" s="179"/>
      <c r="N983" s="180"/>
      <c r="O983" s="10">
        <f t="shared" si="41"/>
        <v>0</v>
      </c>
    </row>
    <row r="984" spans="1:15" x14ac:dyDescent="0.25">
      <c r="A984" s="174" t="s">
        <v>68</v>
      </c>
      <c r="B984" s="174"/>
      <c r="C984" s="174"/>
      <c r="D984" s="174"/>
      <c r="E984" s="174"/>
      <c r="F984" s="174"/>
      <c r="G984" s="174"/>
      <c r="H984" s="174"/>
      <c r="I984" s="174"/>
      <c r="J984" s="174"/>
      <c r="K984" s="174"/>
      <c r="L984" s="174"/>
      <c r="M984" s="174"/>
      <c r="N984" s="174"/>
      <c r="O984" s="10"/>
    </row>
    <row r="985" spans="1:15" x14ac:dyDescent="0.25">
      <c r="A985" s="178"/>
      <c r="B985" s="179"/>
      <c r="C985" s="179"/>
      <c r="D985" s="179"/>
      <c r="E985" s="179"/>
      <c r="F985" s="179"/>
      <c r="G985" s="179"/>
      <c r="H985" s="179"/>
      <c r="I985" s="179"/>
      <c r="J985" s="179"/>
      <c r="K985" s="179"/>
      <c r="L985" s="179"/>
      <c r="M985" s="179"/>
      <c r="N985" s="180"/>
      <c r="O985" s="10">
        <f t="shared" si="41"/>
        <v>0</v>
      </c>
    </row>
    <row r="986" spans="1:15" x14ac:dyDescent="0.25">
      <c r="A986" s="176" t="s">
        <v>60</v>
      </c>
      <c r="B986" s="176"/>
      <c r="C986" s="176"/>
      <c r="D986" s="176"/>
      <c r="E986" s="176"/>
      <c r="F986" s="176"/>
      <c r="G986" s="176"/>
      <c r="H986" s="176"/>
      <c r="I986" s="176"/>
      <c r="J986" s="176"/>
      <c r="K986" s="176"/>
      <c r="L986" s="176"/>
      <c r="M986" s="176" t="s">
        <v>61</v>
      </c>
      <c r="N986" s="176"/>
      <c r="O986" s="10"/>
    </row>
    <row r="987" spans="1:15" x14ac:dyDescent="0.25">
      <c r="A987" s="176" t="s">
        <v>62</v>
      </c>
      <c r="B987" s="176"/>
      <c r="C987" s="176"/>
      <c r="D987" s="176"/>
      <c r="E987" s="176"/>
      <c r="F987" s="176"/>
      <c r="G987" s="176"/>
      <c r="H987" s="176"/>
      <c r="I987" s="176"/>
      <c r="J987" s="176"/>
      <c r="K987" s="176"/>
      <c r="L987" s="176"/>
      <c r="M987" s="176" t="s">
        <v>61</v>
      </c>
      <c r="N987" s="176"/>
      <c r="O987" s="10"/>
    </row>
    <row r="988" spans="1:15" x14ac:dyDescent="0.25">
      <c r="A988" s="209" t="s">
        <v>91</v>
      </c>
      <c r="B988" s="209"/>
      <c r="C988" s="209"/>
      <c r="D988" s="209"/>
      <c r="E988" s="209"/>
      <c r="F988" s="209"/>
      <c r="G988" s="209"/>
      <c r="H988" s="209"/>
      <c r="I988" s="209"/>
      <c r="J988" s="209"/>
      <c r="K988" s="209"/>
      <c r="L988" s="209"/>
      <c r="M988" s="209"/>
      <c r="N988" s="209"/>
      <c r="O988" s="4"/>
    </row>
    <row r="989" spans="1:15" x14ac:dyDescent="0.25">
      <c r="A989" s="209" t="s">
        <v>89</v>
      </c>
      <c r="B989" s="209"/>
      <c r="C989" s="209"/>
      <c r="D989" s="209"/>
      <c r="E989" s="209"/>
      <c r="F989" s="209"/>
      <c r="G989" s="209"/>
      <c r="H989" s="209"/>
      <c r="I989" s="209"/>
      <c r="J989" s="209"/>
      <c r="K989" s="209"/>
      <c r="L989" s="209"/>
      <c r="M989" s="209"/>
      <c r="N989" s="209"/>
      <c r="O989" s="4"/>
    </row>
    <row r="990" spans="1:15" x14ac:dyDescent="0.25">
      <c r="A990" s="209" t="s">
        <v>44</v>
      </c>
      <c r="B990" s="209"/>
      <c r="C990" s="209"/>
      <c r="D990" s="209"/>
      <c r="E990" s="209"/>
      <c r="F990" s="209"/>
      <c r="G990" s="209"/>
      <c r="H990" s="209"/>
      <c r="I990" s="209"/>
      <c r="J990" s="209"/>
      <c r="K990" s="209"/>
      <c r="L990" s="209"/>
      <c r="M990" s="209"/>
      <c r="N990" s="209"/>
      <c r="O990" s="4"/>
    </row>
    <row r="991" spans="1:15" ht="15.75" x14ac:dyDescent="0.25">
      <c r="A991" s="210" t="s">
        <v>72</v>
      </c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0"/>
      <c r="M991" s="210"/>
      <c r="N991" s="210"/>
      <c r="O991" s="4"/>
    </row>
    <row r="992" spans="1:15" ht="15.75" x14ac:dyDescent="0.25">
      <c r="A992" s="211" t="s">
        <v>125</v>
      </c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211"/>
      <c r="N992" s="211"/>
      <c r="O992" s="4"/>
    </row>
    <row r="993" spans="1:15" ht="15.75" x14ac:dyDescent="0.25">
      <c r="A993" s="5" t="s">
        <v>46</v>
      </c>
      <c r="B993" s="208" t="s">
        <v>123</v>
      </c>
      <c r="C993" s="208"/>
      <c r="D993" s="208"/>
      <c r="E993" s="208"/>
      <c r="F993" s="208"/>
      <c r="G993" s="208"/>
      <c r="H993" s="208"/>
      <c r="I993" s="208"/>
      <c r="J993" s="208"/>
      <c r="K993" s="208"/>
      <c r="L993" s="208"/>
      <c r="M993" s="208"/>
      <c r="N993" s="208"/>
      <c r="O993" s="4"/>
    </row>
    <row r="994" spans="1:15" ht="15.75" x14ac:dyDescent="0.25">
      <c r="A994" s="5" t="s">
        <v>47</v>
      </c>
      <c r="B994" s="175" t="s">
        <v>114</v>
      </c>
      <c r="C994" s="175"/>
      <c r="D994" s="175"/>
      <c r="E994" s="175"/>
      <c r="F994" s="175"/>
      <c r="G994" s="175"/>
      <c r="H994" s="175"/>
      <c r="I994" s="175"/>
      <c r="J994" s="175"/>
      <c r="K994" s="175"/>
      <c r="L994" s="174" t="s">
        <v>74</v>
      </c>
      <c r="M994" s="174"/>
      <c r="N994" s="34">
        <v>34997.743675868827</v>
      </c>
      <c r="O994" s="4"/>
    </row>
    <row r="995" spans="1:15" x14ac:dyDescent="0.25">
      <c r="A995" s="6" t="s">
        <v>21</v>
      </c>
      <c r="B995" s="7" t="s">
        <v>92</v>
      </c>
      <c r="C995" s="6" t="s">
        <v>22</v>
      </c>
      <c r="D995" s="7">
        <v>2020</v>
      </c>
      <c r="E995" s="194" t="s">
        <v>20</v>
      </c>
      <c r="F995" s="194"/>
      <c r="G995" s="194"/>
      <c r="H995" s="195" t="s">
        <v>124</v>
      </c>
      <c r="I995" s="196"/>
      <c r="J995" s="196"/>
      <c r="K995" s="196"/>
      <c r="L995" s="196"/>
      <c r="M995" s="196"/>
      <c r="N995" s="197"/>
      <c r="O995" s="4"/>
    </row>
    <row r="996" spans="1:15" x14ac:dyDescent="0.25">
      <c r="A996" s="198" t="s">
        <v>48</v>
      </c>
      <c r="B996" s="199"/>
      <c r="C996" s="200"/>
      <c r="D996" s="204" t="s">
        <v>49</v>
      </c>
      <c r="E996" s="205"/>
      <c r="F996" s="205"/>
      <c r="G996" s="205"/>
      <c r="H996" s="206"/>
      <c r="I996" s="207" t="s">
        <v>50</v>
      </c>
      <c r="J996" s="207"/>
      <c r="K996" s="207"/>
      <c r="L996" s="207"/>
      <c r="M996" s="207"/>
      <c r="N996" s="207"/>
      <c r="O996" s="4"/>
    </row>
    <row r="997" spans="1:15" ht="30" x14ac:dyDescent="0.25">
      <c r="A997" s="201"/>
      <c r="B997" s="202"/>
      <c r="C997" s="203"/>
      <c r="D997" s="8" t="s">
        <v>51</v>
      </c>
      <c r="E997" s="8" t="s">
        <v>52</v>
      </c>
      <c r="F997" s="8" t="s">
        <v>53</v>
      </c>
      <c r="G997" s="8" t="s">
        <v>54</v>
      </c>
      <c r="H997" s="8" t="s">
        <v>55</v>
      </c>
      <c r="I997" s="33" t="s">
        <v>51</v>
      </c>
      <c r="J997" s="33" t="s">
        <v>52</v>
      </c>
      <c r="K997" s="33" t="s">
        <v>53</v>
      </c>
      <c r="L997" s="33" t="s">
        <v>54</v>
      </c>
      <c r="M997" s="201" t="s">
        <v>56</v>
      </c>
      <c r="N997" s="203"/>
      <c r="O997" s="4"/>
    </row>
    <row r="998" spans="1:15" x14ac:dyDescent="0.25">
      <c r="A998" s="181" t="s">
        <v>2</v>
      </c>
      <c r="B998" s="182"/>
      <c r="C998" s="183"/>
      <c r="D998" s="9" t="s">
        <v>57</v>
      </c>
      <c r="E998" s="9" t="s">
        <v>57</v>
      </c>
      <c r="F998" s="9" t="s">
        <v>57</v>
      </c>
      <c r="G998" s="9" t="s">
        <v>57</v>
      </c>
      <c r="H998" s="9"/>
      <c r="I998" s="15">
        <v>0</v>
      </c>
      <c r="J998" s="15">
        <v>0</v>
      </c>
      <c r="K998" s="15">
        <v>0</v>
      </c>
      <c r="L998" s="15">
        <v>0</v>
      </c>
      <c r="M998" s="190">
        <f>I998+J998+K998+L998</f>
        <v>0</v>
      </c>
      <c r="N998" s="191"/>
      <c r="O998" s="4"/>
    </row>
    <row r="999" spans="1:15" x14ac:dyDescent="0.25">
      <c r="A999" s="181" t="s">
        <v>3</v>
      </c>
      <c r="B999" s="182"/>
      <c r="C999" s="183"/>
      <c r="D999" s="9" t="s">
        <v>57</v>
      </c>
      <c r="E999" s="9" t="s">
        <v>57</v>
      </c>
      <c r="F999" s="9" t="s">
        <v>57</v>
      </c>
      <c r="G999" s="9" t="s">
        <v>57</v>
      </c>
      <c r="H999" s="9"/>
      <c r="I999" s="15">
        <v>0</v>
      </c>
      <c r="J999" s="15">
        <v>0</v>
      </c>
      <c r="K999" s="15">
        <v>0</v>
      </c>
      <c r="L999" s="15">
        <v>0</v>
      </c>
      <c r="M999" s="192">
        <f t="shared" ref="M999:M1006" si="42">I999+J999+K999+L999</f>
        <v>0</v>
      </c>
      <c r="N999" s="193"/>
      <c r="O999" s="4"/>
    </row>
    <row r="1000" spans="1:15" x14ac:dyDescent="0.25">
      <c r="A1000" s="181" t="s">
        <v>4</v>
      </c>
      <c r="B1000" s="182"/>
      <c r="C1000" s="183"/>
      <c r="D1000" s="9" t="s">
        <v>57</v>
      </c>
      <c r="E1000" s="9" t="s">
        <v>57</v>
      </c>
      <c r="F1000" s="9" t="s">
        <v>57</v>
      </c>
      <c r="G1000" s="9" t="s">
        <v>57</v>
      </c>
      <c r="H1000" s="9"/>
      <c r="I1000" s="15">
        <v>0</v>
      </c>
      <c r="J1000" s="15">
        <v>0</v>
      </c>
      <c r="K1000" s="15">
        <v>0</v>
      </c>
      <c r="L1000" s="15">
        <v>0</v>
      </c>
      <c r="M1000" s="192">
        <f t="shared" si="42"/>
        <v>0</v>
      </c>
      <c r="N1000" s="193"/>
      <c r="O1000" s="4"/>
    </row>
    <row r="1001" spans="1:15" x14ac:dyDescent="0.25">
      <c r="A1001" s="181" t="s">
        <v>5</v>
      </c>
      <c r="B1001" s="182"/>
      <c r="C1001" s="183"/>
      <c r="D1001" s="9" t="s">
        <v>57</v>
      </c>
      <c r="E1001" s="9" t="s">
        <v>57</v>
      </c>
      <c r="F1001" s="9" t="s">
        <v>57</v>
      </c>
      <c r="G1001" s="9" t="s">
        <v>57</v>
      </c>
      <c r="H1001" s="9"/>
      <c r="I1001" s="15">
        <v>0</v>
      </c>
      <c r="J1001" s="15">
        <v>0</v>
      </c>
      <c r="K1001" s="15">
        <v>0</v>
      </c>
      <c r="L1001" s="15">
        <v>0</v>
      </c>
      <c r="M1001" s="192">
        <f t="shared" si="42"/>
        <v>0</v>
      </c>
      <c r="N1001" s="193"/>
      <c r="O1001" s="4"/>
    </row>
    <row r="1002" spans="1:15" x14ac:dyDescent="0.25">
      <c r="A1002" s="181" t="s">
        <v>6</v>
      </c>
      <c r="B1002" s="182"/>
      <c r="C1002" s="183"/>
      <c r="D1002" s="9" t="s">
        <v>57</v>
      </c>
      <c r="E1002" s="9" t="s">
        <v>57</v>
      </c>
      <c r="F1002" s="9" t="s">
        <v>57</v>
      </c>
      <c r="G1002" s="9" t="s">
        <v>57</v>
      </c>
      <c r="H1002" s="9"/>
      <c r="I1002" s="15">
        <v>0</v>
      </c>
      <c r="J1002" s="15">
        <v>0</v>
      </c>
      <c r="K1002" s="15">
        <v>0</v>
      </c>
      <c r="L1002" s="15">
        <v>0</v>
      </c>
      <c r="M1002" s="192">
        <f t="shared" si="42"/>
        <v>0</v>
      </c>
      <c r="N1002" s="193"/>
      <c r="O1002" s="4"/>
    </row>
    <row r="1003" spans="1:15" x14ac:dyDescent="0.25">
      <c r="A1003" s="181" t="s">
        <v>8</v>
      </c>
      <c r="B1003" s="182"/>
      <c r="C1003" s="183"/>
      <c r="D1003" s="9" t="s">
        <v>57</v>
      </c>
      <c r="E1003" s="9" t="s">
        <v>57</v>
      </c>
      <c r="F1003" s="9" t="s">
        <v>57</v>
      </c>
      <c r="G1003" s="9" t="s">
        <v>57</v>
      </c>
      <c r="H1003" s="9"/>
      <c r="I1003" s="15">
        <v>0</v>
      </c>
      <c r="J1003" s="15">
        <v>0</v>
      </c>
      <c r="K1003" s="15">
        <v>0</v>
      </c>
      <c r="L1003" s="15">
        <v>0</v>
      </c>
      <c r="M1003" s="192">
        <f t="shared" si="42"/>
        <v>0</v>
      </c>
      <c r="N1003" s="193"/>
      <c r="O1003" s="4"/>
    </row>
    <row r="1004" spans="1:15" x14ac:dyDescent="0.25">
      <c r="A1004" s="181" t="s">
        <v>38</v>
      </c>
      <c r="B1004" s="182"/>
      <c r="C1004" s="183"/>
      <c r="D1004" s="9" t="s">
        <v>57</v>
      </c>
      <c r="E1004" s="9" t="s">
        <v>57</v>
      </c>
      <c r="F1004" s="9" t="s">
        <v>57</v>
      </c>
      <c r="G1004" s="9" t="s">
        <v>57</v>
      </c>
      <c r="H1004" s="9"/>
      <c r="I1004" s="15">
        <v>0</v>
      </c>
      <c r="J1004" s="15">
        <v>0</v>
      </c>
      <c r="K1004" s="15">
        <v>0</v>
      </c>
      <c r="L1004" s="15">
        <v>0</v>
      </c>
      <c r="M1004" s="192">
        <f t="shared" si="42"/>
        <v>0</v>
      </c>
      <c r="N1004" s="193"/>
      <c r="O1004" s="4"/>
    </row>
    <row r="1005" spans="1:15" x14ac:dyDescent="0.25">
      <c r="A1005" s="181" t="s">
        <v>7</v>
      </c>
      <c r="B1005" s="182"/>
      <c r="C1005" s="183"/>
      <c r="D1005" s="9" t="s">
        <v>57</v>
      </c>
      <c r="E1005" s="9" t="s">
        <v>57</v>
      </c>
      <c r="F1005" s="9" t="s">
        <v>57</v>
      </c>
      <c r="G1005" s="9" t="s">
        <v>57</v>
      </c>
      <c r="H1005" s="9"/>
      <c r="I1005" s="15">
        <v>0</v>
      </c>
      <c r="J1005" s="15">
        <v>0</v>
      </c>
      <c r="K1005" s="15">
        <v>0</v>
      </c>
      <c r="L1005" s="15">
        <v>0</v>
      </c>
      <c r="M1005" s="192">
        <f t="shared" si="42"/>
        <v>0</v>
      </c>
      <c r="N1005" s="193"/>
      <c r="O1005" s="4"/>
    </row>
    <row r="1006" spans="1:15" x14ac:dyDescent="0.25">
      <c r="A1006" s="181" t="s">
        <v>90</v>
      </c>
      <c r="B1006" s="182"/>
      <c r="C1006" s="183"/>
      <c r="D1006" s="9" t="s">
        <v>57</v>
      </c>
      <c r="E1006" s="9" t="s">
        <v>57</v>
      </c>
      <c r="F1006" s="9" t="s">
        <v>57</v>
      </c>
      <c r="G1006" s="9" t="s">
        <v>57</v>
      </c>
      <c r="H1006" s="9"/>
      <c r="I1006" s="15">
        <v>0</v>
      </c>
      <c r="J1006" s="15">
        <v>0</v>
      </c>
      <c r="K1006" s="15">
        <v>0</v>
      </c>
      <c r="L1006" s="15">
        <v>0</v>
      </c>
      <c r="M1006" s="188">
        <f t="shared" si="42"/>
        <v>0</v>
      </c>
      <c r="N1006" s="189"/>
      <c r="O1006" s="4"/>
    </row>
    <row r="1007" spans="1:15" x14ac:dyDescent="0.25">
      <c r="O1007" s="4"/>
    </row>
    <row r="1008" spans="1:15" ht="15.75" x14ac:dyDescent="0.25">
      <c r="A1008" s="177" t="s">
        <v>58</v>
      </c>
      <c r="B1008" s="177"/>
      <c r="C1008" s="177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4"/>
    </row>
    <row r="1009" spans="1:15" x14ac:dyDescent="0.25">
      <c r="A1009" s="178"/>
      <c r="B1009" s="179"/>
      <c r="C1009" s="179"/>
      <c r="D1009" s="179"/>
      <c r="E1009" s="179"/>
      <c r="F1009" s="179"/>
      <c r="G1009" s="179"/>
      <c r="H1009" s="179"/>
      <c r="I1009" s="179"/>
      <c r="J1009" s="179"/>
      <c r="K1009" s="179"/>
      <c r="L1009" s="179"/>
      <c r="M1009" s="179"/>
      <c r="N1009" s="180"/>
      <c r="O1009" s="10">
        <f>A1009</f>
        <v>0</v>
      </c>
    </row>
    <row r="1010" spans="1:15" x14ac:dyDescent="0.25">
      <c r="A1010" s="174" t="s">
        <v>59</v>
      </c>
      <c r="B1010" s="174"/>
      <c r="C1010" s="174"/>
      <c r="D1010" s="174"/>
      <c r="E1010" s="174"/>
      <c r="F1010" s="174"/>
      <c r="G1010" s="174"/>
      <c r="H1010" s="174"/>
      <c r="I1010" s="174"/>
      <c r="J1010" s="174"/>
      <c r="K1010" s="174"/>
      <c r="L1010" s="174"/>
      <c r="M1010" s="174"/>
      <c r="N1010" s="174"/>
      <c r="O1010" s="10"/>
    </row>
    <row r="1011" spans="1:15" x14ac:dyDescent="0.25">
      <c r="A1011" s="178"/>
      <c r="B1011" s="179"/>
      <c r="C1011" s="179"/>
      <c r="D1011" s="179"/>
      <c r="E1011" s="179"/>
      <c r="F1011" s="179"/>
      <c r="G1011" s="179"/>
      <c r="H1011" s="179"/>
      <c r="I1011" s="179"/>
      <c r="J1011" s="179"/>
      <c r="K1011" s="179"/>
      <c r="L1011" s="179"/>
      <c r="M1011" s="179"/>
      <c r="N1011" s="180"/>
      <c r="O1011" s="10">
        <f t="shared" ref="O1011:O1032" si="43">A1011</f>
        <v>0</v>
      </c>
    </row>
    <row r="1012" spans="1:15" x14ac:dyDescent="0.25">
      <c r="A1012" s="176" t="s">
        <v>60</v>
      </c>
      <c r="B1012" s="176"/>
      <c r="C1012" s="176"/>
      <c r="D1012" s="176"/>
      <c r="E1012" s="176"/>
      <c r="F1012" s="176"/>
      <c r="G1012" s="176"/>
      <c r="H1012" s="176"/>
      <c r="I1012" s="176"/>
      <c r="J1012" s="176"/>
      <c r="K1012" s="176"/>
      <c r="L1012" s="176"/>
      <c r="M1012" s="176" t="s">
        <v>61</v>
      </c>
      <c r="N1012" s="176"/>
      <c r="O1012" s="10"/>
    </row>
    <row r="1013" spans="1:15" x14ac:dyDescent="0.25">
      <c r="A1013" s="176" t="s">
        <v>62</v>
      </c>
      <c r="B1013" s="176"/>
      <c r="C1013" s="176"/>
      <c r="D1013" s="176"/>
      <c r="E1013" s="176"/>
      <c r="F1013" s="176"/>
      <c r="G1013" s="176"/>
      <c r="H1013" s="176"/>
      <c r="I1013" s="176"/>
      <c r="J1013" s="176"/>
      <c r="K1013" s="176"/>
      <c r="L1013" s="176"/>
      <c r="M1013" s="176" t="s">
        <v>61</v>
      </c>
      <c r="N1013" s="176"/>
      <c r="O1013" s="10"/>
    </row>
    <row r="1014" spans="1:15" x14ac:dyDescent="0.25">
      <c r="O1014" s="10"/>
    </row>
    <row r="1015" spans="1:15" ht="15.75" x14ac:dyDescent="0.25">
      <c r="A1015" s="184" t="s">
        <v>63</v>
      </c>
      <c r="B1015" s="185"/>
      <c r="C1015" s="185"/>
      <c r="D1015" s="185"/>
      <c r="E1015" s="185"/>
      <c r="F1015" s="185"/>
      <c r="G1015" s="185"/>
      <c r="H1015" s="185"/>
      <c r="I1015" s="185"/>
      <c r="J1015" s="185"/>
      <c r="K1015" s="185"/>
      <c r="L1015" s="185"/>
      <c r="M1015" s="185"/>
      <c r="N1015" s="186"/>
      <c r="O1015" s="10"/>
    </row>
    <row r="1016" spans="1:15" x14ac:dyDescent="0.25">
      <c r="A1016" s="178"/>
      <c r="B1016" s="179"/>
      <c r="C1016" s="179"/>
      <c r="D1016" s="179"/>
      <c r="E1016" s="179"/>
      <c r="F1016" s="179"/>
      <c r="G1016" s="179"/>
      <c r="H1016" s="179"/>
      <c r="I1016" s="179"/>
      <c r="J1016" s="179"/>
      <c r="K1016" s="179"/>
      <c r="L1016" s="179"/>
      <c r="M1016" s="179"/>
      <c r="N1016" s="179"/>
      <c r="O1016" s="10">
        <f t="shared" si="43"/>
        <v>0</v>
      </c>
    </row>
    <row r="1017" spans="1:15" x14ac:dyDescent="0.25">
      <c r="A1017" s="174" t="s">
        <v>64</v>
      </c>
      <c r="B1017" s="174"/>
      <c r="C1017" s="174"/>
      <c r="D1017" s="174"/>
      <c r="E1017" s="174"/>
      <c r="F1017" s="174"/>
      <c r="G1017" s="174"/>
      <c r="H1017" s="174"/>
      <c r="I1017" s="174"/>
      <c r="J1017" s="174"/>
      <c r="K1017" s="174"/>
      <c r="L1017" s="174"/>
      <c r="M1017" s="174"/>
      <c r="N1017" s="174"/>
      <c r="O1017" s="10"/>
    </row>
    <row r="1018" spans="1:15" x14ac:dyDescent="0.25">
      <c r="A1018" s="178"/>
      <c r="B1018" s="179"/>
      <c r="C1018" s="179"/>
      <c r="D1018" s="179"/>
      <c r="E1018" s="179"/>
      <c r="F1018" s="179"/>
      <c r="G1018" s="179"/>
      <c r="H1018" s="179"/>
      <c r="I1018" s="179"/>
      <c r="J1018" s="179"/>
      <c r="K1018" s="179"/>
      <c r="L1018" s="179"/>
      <c r="M1018" s="179"/>
      <c r="N1018" s="180"/>
      <c r="O1018" s="10">
        <f t="shared" si="43"/>
        <v>0</v>
      </c>
    </row>
    <row r="1019" spans="1:15" x14ac:dyDescent="0.25">
      <c r="A1019" s="176" t="s">
        <v>60</v>
      </c>
      <c r="B1019" s="176"/>
      <c r="C1019" s="176"/>
      <c r="D1019" s="176"/>
      <c r="E1019" s="176"/>
      <c r="F1019" s="176"/>
      <c r="G1019" s="176"/>
      <c r="H1019" s="176"/>
      <c r="I1019" s="176"/>
      <c r="J1019" s="176"/>
      <c r="K1019" s="176"/>
      <c r="L1019" s="176"/>
      <c r="M1019" s="176" t="s">
        <v>61</v>
      </c>
      <c r="N1019" s="176"/>
      <c r="O1019" s="10"/>
    </row>
    <row r="1020" spans="1:15" x14ac:dyDescent="0.25">
      <c r="A1020" s="176" t="s">
        <v>62</v>
      </c>
      <c r="B1020" s="176"/>
      <c r="C1020" s="176"/>
      <c r="D1020" s="176"/>
      <c r="E1020" s="176"/>
      <c r="F1020" s="176"/>
      <c r="G1020" s="176"/>
      <c r="H1020" s="176"/>
      <c r="I1020" s="176"/>
      <c r="J1020" s="176"/>
      <c r="K1020" s="176"/>
      <c r="L1020" s="176"/>
      <c r="M1020" s="176" t="s">
        <v>61</v>
      </c>
      <c r="N1020" s="176"/>
      <c r="O1020" s="10"/>
    </row>
    <row r="1021" spans="1:15" x14ac:dyDescent="0.25">
      <c r="O1021" s="10"/>
    </row>
    <row r="1022" spans="1:15" ht="15.75" x14ac:dyDescent="0.25">
      <c r="A1022" s="177" t="s">
        <v>65</v>
      </c>
      <c r="B1022" s="177"/>
      <c r="C1022" s="177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0"/>
    </row>
    <row r="1023" spans="1:15" x14ac:dyDescent="0.25">
      <c r="A1023" s="178"/>
      <c r="B1023" s="179"/>
      <c r="C1023" s="179"/>
      <c r="D1023" s="179"/>
      <c r="E1023" s="179"/>
      <c r="F1023" s="179"/>
      <c r="G1023" s="179"/>
      <c r="H1023" s="179"/>
      <c r="I1023" s="179"/>
      <c r="J1023" s="179"/>
      <c r="K1023" s="179"/>
      <c r="L1023" s="179"/>
      <c r="M1023" s="179"/>
      <c r="N1023" s="180"/>
      <c r="O1023" s="10">
        <f t="shared" si="43"/>
        <v>0</v>
      </c>
    </row>
    <row r="1024" spans="1:15" x14ac:dyDescent="0.25">
      <c r="A1024" s="174" t="s">
        <v>66</v>
      </c>
      <c r="B1024" s="174"/>
      <c r="C1024" s="174"/>
      <c r="D1024" s="174"/>
      <c r="E1024" s="174"/>
      <c r="F1024" s="174"/>
      <c r="G1024" s="174"/>
      <c r="H1024" s="174"/>
      <c r="I1024" s="174"/>
      <c r="J1024" s="174"/>
      <c r="K1024" s="174"/>
      <c r="L1024" s="174"/>
      <c r="M1024" s="174"/>
      <c r="N1024" s="174"/>
      <c r="O1024" s="10"/>
    </row>
    <row r="1025" spans="1:15" x14ac:dyDescent="0.25">
      <c r="A1025" s="178"/>
      <c r="B1025" s="179"/>
      <c r="C1025" s="179"/>
      <c r="D1025" s="179"/>
      <c r="E1025" s="179"/>
      <c r="F1025" s="179"/>
      <c r="G1025" s="179"/>
      <c r="H1025" s="179"/>
      <c r="I1025" s="179"/>
      <c r="J1025" s="179"/>
      <c r="K1025" s="179"/>
      <c r="L1025" s="179"/>
      <c r="M1025" s="179"/>
      <c r="N1025" s="180"/>
      <c r="O1025" s="10">
        <f t="shared" si="43"/>
        <v>0</v>
      </c>
    </row>
    <row r="1026" spans="1:15" x14ac:dyDescent="0.25">
      <c r="A1026" s="187" t="s">
        <v>60</v>
      </c>
      <c r="B1026" s="187"/>
      <c r="C1026" s="187"/>
      <c r="D1026" s="187"/>
      <c r="E1026" s="187"/>
      <c r="F1026" s="187"/>
      <c r="G1026" s="187"/>
      <c r="H1026" s="187"/>
      <c r="I1026" s="187"/>
      <c r="J1026" s="187"/>
      <c r="K1026" s="187"/>
      <c r="L1026" s="187"/>
      <c r="M1026" s="176" t="s">
        <v>61</v>
      </c>
      <c r="N1026" s="176"/>
      <c r="O1026" s="10"/>
    </row>
    <row r="1027" spans="1:15" x14ac:dyDescent="0.25">
      <c r="A1027" s="187" t="s">
        <v>62</v>
      </c>
      <c r="B1027" s="187"/>
      <c r="C1027" s="187"/>
      <c r="D1027" s="187"/>
      <c r="E1027" s="187"/>
      <c r="F1027" s="187"/>
      <c r="G1027" s="187"/>
      <c r="H1027" s="187"/>
      <c r="I1027" s="187"/>
      <c r="J1027" s="187"/>
      <c r="K1027" s="187"/>
      <c r="L1027" s="187"/>
      <c r="M1027" s="176" t="s">
        <v>61</v>
      </c>
      <c r="N1027" s="176"/>
      <c r="O1027" s="10"/>
    </row>
    <row r="1028" spans="1:15" x14ac:dyDescent="0.25">
      <c r="O1028" s="10"/>
    </row>
    <row r="1029" spans="1:15" ht="15.75" x14ac:dyDescent="0.25">
      <c r="A1029" s="184" t="s">
        <v>67</v>
      </c>
      <c r="B1029" s="185"/>
      <c r="C1029" s="185"/>
      <c r="D1029" s="185"/>
      <c r="E1029" s="185"/>
      <c r="F1029" s="185"/>
      <c r="G1029" s="185"/>
      <c r="H1029" s="185"/>
      <c r="I1029" s="185"/>
      <c r="J1029" s="185"/>
      <c r="K1029" s="185"/>
      <c r="L1029" s="185"/>
      <c r="M1029" s="185"/>
      <c r="N1029" s="186"/>
      <c r="O1029" s="10"/>
    </row>
    <row r="1030" spans="1:15" x14ac:dyDescent="0.25">
      <c r="A1030" s="178"/>
      <c r="B1030" s="179"/>
      <c r="C1030" s="179"/>
      <c r="D1030" s="179"/>
      <c r="E1030" s="179"/>
      <c r="F1030" s="179"/>
      <c r="G1030" s="179"/>
      <c r="H1030" s="179"/>
      <c r="I1030" s="179"/>
      <c r="J1030" s="179"/>
      <c r="K1030" s="179"/>
      <c r="L1030" s="179"/>
      <c r="M1030" s="179"/>
      <c r="N1030" s="180"/>
      <c r="O1030" s="10">
        <f t="shared" si="43"/>
        <v>0</v>
      </c>
    </row>
    <row r="1031" spans="1:15" x14ac:dyDescent="0.25">
      <c r="A1031" s="174" t="s">
        <v>68</v>
      </c>
      <c r="B1031" s="174"/>
      <c r="C1031" s="174"/>
      <c r="D1031" s="174"/>
      <c r="E1031" s="174"/>
      <c r="F1031" s="174"/>
      <c r="G1031" s="174"/>
      <c r="H1031" s="174"/>
      <c r="I1031" s="174"/>
      <c r="J1031" s="174"/>
      <c r="K1031" s="174"/>
      <c r="L1031" s="174"/>
      <c r="M1031" s="174"/>
      <c r="N1031" s="174"/>
      <c r="O1031" s="10"/>
    </row>
    <row r="1032" spans="1:15" x14ac:dyDescent="0.25">
      <c r="A1032" s="178"/>
      <c r="B1032" s="179"/>
      <c r="C1032" s="179"/>
      <c r="D1032" s="179"/>
      <c r="E1032" s="179"/>
      <c r="F1032" s="179"/>
      <c r="G1032" s="179"/>
      <c r="H1032" s="179"/>
      <c r="I1032" s="179"/>
      <c r="J1032" s="179"/>
      <c r="K1032" s="179"/>
      <c r="L1032" s="179"/>
      <c r="M1032" s="179"/>
      <c r="N1032" s="180"/>
      <c r="O1032" s="10">
        <f t="shared" si="43"/>
        <v>0</v>
      </c>
    </row>
    <row r="1033" spans="1:15" x14ac:dyDescent="0.25">
      <c r="A1033" s="176" t="s">
        <v>60</v>
      </c>
      <c r="B1033" s="176"/>
      <c r="C1033" s="176"/>
      <c r="D1033" s="176"/>
      <c r="E1033" s="176"/>
      <c r="F1033" s="176"/>
      <c r="G1033" s="176"/>
      <c r="H1033" s="176"/>
      <c r="I1033" s="176"/>
      <c r="J1033" s="176"/>
      <c r="K1033" s="176"/>
      <c r="L1033" s="176"/>
      <c r="M1033" s="176" t="s">
        <v>61</v>
      </c>
      <c r="N1033" s="176"/>
      <c r="O1033" s="10"/>
    </row>
    <row r="1034" spans="1:15" x14ac:dyDescent="0.25">
      <c r="A1034" s="176" t="s">
        <v>62</v>
      </c>
      <c r="B1034" s="176"/>
      <c r="C1034" s="176"/>
      <c r="D1034" s="176"/>
      <c r="E1034" s="176"/>
      <c r="F1034" s="176"/>
      <c r="G1034" s="176"/>
      <c r="H1034" s="176"/>
      <c r="I1034" s="176"/>
      <c r="J1034" s="176"/>
      <c r="K1034" s="176"/>
      <c r="L1034" s="176"/>
      <c r="M1034" s="176" t="s">
        <v>61</v>
      </c>
      <c r="N1034" s="176"/>
      <c r="O1034" s="10"/>
    </row>
    <row r="1035" spans="1:15" x14ac:dyDescent="0.25">
      <c r="A1035" s="209" t="s">
        <v>91</v>
      </c>
      <c r="B1035" s="209"/>
      <c r="C1035" s="209"/>
      <c r="D1035" s="209"/>
      <c r="E1035" s="209"/>
      <c r="F1035" s="209"/>
      <c r="G1035" s="209"/>
      <c r="H1035" s="209"/>
      <c r="I1035" s="209"/>
      <c r="J1035" s="209"/>
      <c r="K1035" s="209"/>
      <c r="L1035" s="209"/>
      <c r="M1035" s="209"/>
      <c r="N1035" s="209"/>
      <c r="O1035" s="4"/>
    </row>
    <row r="1036" spans="1:15" x14ac:dyDescent="0.25">
      <c r="A1036" s="209" t="s">
        <v>89</v>
      </c>
      <c r="B1036" s="209"/>
      <c r="C1036" s="209"/>
      <c r="D1036" s="209"/>
      <c r="E1036" s="209"/>
      <c r="F1036" s="209"/>
      <c r="G1036" s="209"/>
      <c r="H1036" s="209"/>
      <c r="I1036" s="209"/>
      <c r="J1036" s="209"/>
      <c r="K1036" s="209"/>
      <c r="L1036" s="209"/>
      <c r="M1036" s="209"/>
      <c r="N1036" s="209"/>
      <c r="O1036" s="4"/>
    </row>
    <row r="1037" spans="1:15" x14ac:dyDescent="0.25">
      <c r="A1037" s="209" t="s">
        <v>44</v>
      </c>
      <c r="B1037" s="209"/>
      <c r="C1037" s="209"/>
      <c r="D1037" s="209"/>
      <c r="E1037" s="209"/>
      <c r="F1037" s="209"/>
      <c r="G1037" s="209"/>
      <c r="H1037" s="209"/>
      <c r="I1037" s="209"/>
      <c r="J1037" s="209"/>
      <c r="K1037" s="209"/>
      <c r="L1037" s="209"/>
      <c r="M1037" s="209"/>
      <c r="N1037" s="209"/>
      <c r="O1037" s="4"/>
    </row>
    <row r="1038" spans="1:15" ht="15.75" x14ac:dyDescent="0.25">
      <c r="A1038" s="210" t="s">
        <v>72</v>
      </c>
      <c r="B1038" s="210"/>
      <c r="C1038" s="210"/>
      <c r="D1038" s="210"/>
      <c r="E1038" s="210"/>
      <c r="F1038" s="210"/>
      <c r="G1038" s="210"/>
      <c r="H1038" s="210"/>
      <c r="I1038" s="210"/>
      <c r="J1038" s="210"/>
      <c r="K1038" s="210"/>
      <c r="L1038" s="210"/>
      <c r="M1038" s="210"/>
      <c r="N1038" s="210"/>
      <c r="O1038" s="4"/>
    </row>
    <row r="1039" spans="1:15" ht="15.75" x14ac:dyDescent="0.25">
      <c r="A1039" s="211" t="s">
        <v>125</v>
      </c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211"/>
      <c r="N1039" s="211"/>
      <c r="O1039" s="4"/>
    </row>
    <row r="1040" spans="1:15" ht="15.75" x14ac:dyDescent="0.25">
      <c r="A1040" s="5" t="s">
        <v>46</v>
      </c>
      <c r="B1040" s="208" t="s">
        <v>123</v>
      </c>
      <c r="C1040" s="208"/>
      <c r="D1040" s="208"/>
      <c r="E1040" s="208"/>
      <c r="F1040" s="208"/>
      <c r="G1040" s="208"/>
      <c r="H1040" s="208"/>
      <c r="I1040" s="208"/>
      <c r="J1040" s="208"/>
      <c r="K1040" s="208"/>
      <c r="L1040" s="208"/>
      <c r="M1040" s="208"/>
      <c r="N1040" s="208"/>
      <c r="O1040" s="4"/>
    </row>
    <row r="1041" spans="1:15" ht="15.75" x14ac:dyDescent="0.25">
      <c r="A1041" s="5" t="s">
        <v>47</v>
      </c>
      <c r="B1041" s="175" t="s">
        <v>115</v>
      </c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4" t="s">
        <v>74</v>
      </c>
      <c r="M1041" s="174"/>
      <c r="N1041" s="34">
        <v>31915.204112600393</v>
      </c>
      <c r="O1041" s="4"/>
    </row>
    <row r="1042" spans="1:15" x14ac:dyDescent="0.25">
      <c r="A1042" s="6" t="s">
        <v>21</v>
      </c>
      <c r="B1042" s="7" t="s">
        <v>92</v>
      </c>
      <c r="C1042" s="6" t="s">
        <v>22</v>
      </c>
      <c r="D1042" s="7">
        <v>2020</v>
      </c>
      <c r="E1042" s="194" t="s">
        <v>20</v>
      </c>
      <c r="F1042" s="194"/>
      <c r="G1042" s="194"/>
      <c r="H1042" s="195" t="s">
        <v>124</v>
      </c>
      <c r="I1042" s="196"/>
      <c r="J1042" s="196"/>
      <c r="K1042" s="196"/>
      <c r="L1042" s="196"/>
      <c r="M1042" s="196"/>
      <c r="N1042" s="197"/>
      <c r="O1042" s="4"/>
    </row>
    <row r="1043" spans="1:15" x14ac:dyDescent="0.25">
      <c r="A1043" s="198" t="s">
        <v>48</v>
      </c>
      <c r="B1043" s="199"/>
      <c r="C1043" s="200"/>
      <c r="D1043" s="204" t="s">
        <v>49</v>
      </c>
      <c r="E1043" s="205"/>
      <c r="F1043" s="205"/>
      <c r="G1043" s="205"/>
      <c r="H1043" s="206"/>
      <c r="I1043" s="207" t="s">
        <v>50</v>
      </c>
      <c r="J1043" s="207"/>
      <c r="K1043" s="207"/>
      <c r="L1043" s="207"/>
      <c r="M1043" s="207"/>
      <c r="N1043" s="207"/>
      <c r="O1043" s="4"/>
    </row>
    <row r="1044" spans="1:15" ht="30" x14ac:dyDescent="0.25">
      <c r="A1044" s="201"/>
      <c r="B1044" s="202"/>
      <c r="C1044" s="203"/>
      <c r="D1044" s="8" t="s">
        <v>51</v>
      </c>
      <c r="E1044" s="8" t="s">
        <v>52</v>
      </c>
      <c r="F1044" s="8" t="s">
        <v>53</v>
      </c>
      <c r="G1044" s="8" t="s">
        <v>54</v>
      </c>
      <c r="H1044" s="8" t="s">
        <v>55</v>
      </c>
      <c r="I1044" s="33" t="s">
        <v>51</v>
      </c>
      <c r="J1044" s="33" t="s">
        <v>52</v>
      </c>
      <c r="K1044" s="33" t="s">
        <v>53</v>
      </c>
      <c r="L1044" s="33" t="s">
        <v>54</v>
      </c>
      <c r="M1044" s="201" t="s">
        <v>56</v>
      </c>
      <c r="N1044" s="203"/>
      <c r="O1044" s="4"/>
    </row>
    <row r="1045" spans="1:15" x14ac:dyDescent="0.25">
      <c r="A1045" s="181" t="s">
        <v>2</v>
      </c>
      <c r="B1045" s="182"/>
      <c r="C1045" s="183"/>
      <c r="D1045" s="9" t="s">
        <v>57</v>
      </c>
      <c r="E1045" s="9" t="s">
        <v>57</v>
      </c>
      <c r="F1045" s="9" t="s">
        <v>57</v>
      </c>
      <c r="G1045" s="9" t="s">
        <v>57</v>
      </c>
      <c r="H1045" s="9"/>
      <c r="I1045" s="15">
        <v>0</v>
      </c>
      <c r="J1045" s="15">
        <v>0</v>
      </c>
      <c r="K1045" s="15">
        <v>0</v>
      </c>
      <c r="L1045" s="15">
        <v>0</v>
      </c>
      <c r="M1045" s="190">
        <f>I1045+J1045+K1045+L1045</f>
        <v>0</v>
      </c>
      <c r="N1045" s="191"/>
      <c r="O1045" s="4"/>
    </row>
    <row r="1046" spans="1:15" x14ac:dyDescent="0.25">
      <c r="A1046" s="181" t="s">
        <v>3</v>
      </c>
      <c r="B1046" s="182"/>
      <c r="C1046" s="183"/>
      <c r="D1046" s="9" t="s">
        <v>57</v>
      </c>
      <c r="E1046" s="9" t="s">
        <v>57</v>
      </c>
      <c r="F1046" s="9" t="s">
        <v>57</v>
      </c>
      <c r="G1046" s="9" t="s">
        <v>57</v>
      </c>
      <c r="H1046" s="9"/>
      <c r="I1046" s="15">
        <v>0</v>
      </c>
      <c r="J1046" s="15">
        <v>0</v>
      </c>
      <c r="K1046" s="15">
        <v>0</v>
      </c>
      <c r="L1046" s="15">
        <v>0</v>
      </c>
      <c r="M1046" s="192">
        <f t="shared" ref="M1046:M1053" si="44">I1046+J1046+K1046+L1046</f>
        <v>0</v>
      </c>
      <c r="N1046" s="193"/>
      <c r="O1046" s="4"/>
    </row>
    <row r="1047" spans="1:15" x14ac:dyDescent="0.25">
      <c r="A1047" s="181" t="s">
        <v>4</v>
      </c>
      <c r="B1047" s="182"/>
      <c r="C1047" s="183"/>
      <c r="D1047" s="9" t="s">
        <v>57</v>
      </c>
      <c r="E1047" s="9" t="s">
        <v>57</v>
      </c>
      <c r="F1047" s="9" t="s">
        <v>57</v>
      </c>
      <c r="G1047" s="9" t="s">
        <v>57</v>
      </c>
      <c r="H1047" s="9"/>
      <c r="I1047" s="15">
        <v>0</v>
      </c>
      <c r="J1047" s="15">
        <v>0</v>
      </c>
      <c r="K1047" s="15">
        <v>0</v>
      </c>
      <c r="L1047" s="15">
        <v>0</v>
      </c>
      <c r="M1047" s="192">
        <f t="shared" si="44"/>
        <v>0</v>
      </c>
      <c r="N1047" s="193"/>
      <c r="O1047" s="4"/>
    </row>
    <row r="1048" spans="1:15" x14ac:dyDescent="0.25">
      <c r="A1048" s="181" t="s">
        <v>5</v>
      </c>
      <c r="B1048" s="182"/>
      <c r="C1048" s="183"/>
      <c r="D1048" s="9" t="s">
        <v>57</v>
      </c>
      <c r="E1048" s="9" t="s">
        <v>57</v>
      </c>
      <c r="F1048" s="9" t="s">
        <v>57</v>
      </c>
      <c r="G1048" s="9" t="s">
        <v>57</v>
      </c>
      <c r="H1048" s="9"/>
      <c r="I1048" s="15">
        <v>0</v>
      </c>
      <c r="J1048" s="15">
        <v>0</v>
      </c>
      <c r="K1048" s="15">
        <v>0</v>
      </c>
      <c r="L1048" s="15">
        <v>0</v>
      </c>
      <c r="M1048" s="192">
        <f t="shared" si="44"/>
        <v>0</v>
      </c>
      <c r="N1048" s="193"/>
      <c r="O1048" s="4"/>
    </row>
    <row r="1049" spans="1:15" x14ac:dyDescent="0.25">
      <c r="A1049" s="181" t="s">
        <v>6</v>
      </c>
      <c r="B1049" s="182"/>
      <c r="C1049" s="183"/>
      <c r="D1049" s="9" t="s">
        <v>57</v>
      </c>
      <c r="E1049" s="9" t="s">
        <v>57</v>
      </c>
      <c r="F1049" s="9" t="s">
        <v>57</v>
      </c>
      <c r="G1049" s="9" t="s">
        <v>57</v>
      </c>
      <c r="H1049" s="9"/>
      <c r="I1049" s="15">
        <v>0</v>
      </c>
      <c r="J1049" s="15">
        <v>0</v>
      </c>
      <c r="K1049" s="15">
        <v>0</v>
      </c>
      <c r="L1049" s="15">
        <v>0</v>
      </c>
      <c r="M1049" s="192">
        <f t="shared" si="44"/>
        <v>0</v>
      </c>
      <c r="N1049" s="193"/>
      <c r="O1049" s="4"/>
    </row>
    <row r="1050" spans="1:15" x14ac:dyDescent="0.25">
      <c r="A1050" s="181" t="s">
        <v>8</v>
      </c>
      <c r="B1050" s="182"/>
      <c r="C1050" s="183"/>
      <c r="D1050" s="9" t="s">
        <v>57</v>
      </c>
      <c r="E1050" s="9" t="s">
        <v>57</v>
      </c>
      <c r="F1050" s="9" t="s">
        <v>57</v>
      </c>
      <c r="G1050" s="9" t="s">
        <v>57</v>
      </c>
      <c r="H1050" s="9"/>
      <c r="I1050" s="15">
        <v>0</v>
      </c>
      <c r="J1050" s="15">
        <v>0</v>
      </c>
      <c r="K1050" s="15">
        <v>0</v>
      </c>
      <c r="L1050" s="15">
        <v>0</v>
      </c>
      <c r="M1050" s="192">
        <f t="shared" si="44"/>
        <v>0</v>
      </c>
      <c r="N1050" s="193"/>
      <c r="O1050" s="4"/>
    </row>
    <row r="1051" spans="1:15" x14ac:dyDescent="0.25">
      <c r="A1051" s="181" t="s">
        <v>38</v>
      </c>
      <c r="B1051" s="182"/>
      <c r="C1051" s="183"/>
      <c r="D1051" s="9" t="s">
        <v>57</v>
      </c>
      <c r="E1051" s="9" t="s">
        <v>57</v>
      </c>
      <c r="F1051" s="9" t="s">
        <v>57</v>
      </c>
      <c r="G1051" s="9" t="s">
        <v>57</v>
      </c>
      <c r="H1051" s="9"/>
      <c r="I1051" s="15">
        <v>0</v>
      </c>
      <c r="J1051" s="15">
        <v>0</v>
      </c>
      <c r="K1051" s="15">
        <v>0</v>
      </c>
      <c r="L1051" s="15">
        <v>0</v>
      </c>
      <c r="M1051" s="192">
        <f t="shared" si="44"/>
        <v>0</v>
      </c>
      <c r="N1051" s="193"/>
      <c r="O1051" s="4"/>
    </row>
    <row r="1052" spans="1:15" x14ac:dyDescent="0.25">
      <c r="A1052" s="181" t="s">
        <v>7</v>
      </c>
      <c r="B1052" s="182"/>
      <c r="C1052" s="183"/>
      <c r="D1052" s="9" t="s">
        <v>57</v>
      </c>
      <c r="E1052" s="9" t="s">
        <v>57</v>
      </c>
      <c r="F1052" s="9" t="s">
        <v>57</v>
      </c>
      <c r="G1052" s="9" t="s">
        <v>57</v>
      </c>
      <c r="H1052" s="9"/>
      <c r="I1052" s="15">
        <v>0</v>
      </c>
      <c r="J1052" s="15">
        <v>0</v>
      </c>
      <c r="K1052" s="15">
        <v>0</v>
      </c>
      <c r="L1052" s="15">
        <v>0</v>
      </c>
      <c r="M1052" s="192">
        <f t="shared" si="44"/>
        <v>0</v>
      </c>
      <c r="N1052" s="193"/>
      <c r="O1052" s="4"/>
    </row>
    <row r="1053" spans="1:15" x14ac:dyDescent="0.25">
      <c r="A1053" s="181" t="s">
        <v>90</v>
      </c>
      <c r="B1053" s="182"/>
      <c r="C1053" s="183"/>
      <c r="D1053" s="9" t="s">
        <v>57</v>
      </c>
      <c r="E1053" s="9" t="s">
        <v>57</v>
      </c>
      <c r="F1053" s="9" t="s">
        <v>57</v>
      </c>
      <c r="G1053" s="9" t="s">
        <v>57</v>
      </c>
      <c r="H1053" s="9"/>
      <c r="I1053" s="15">
        <v>0</v>
      </c>
      <c r="J1053" s="15">
        <v>0</v>
      </c>
      <c r="K1053" s="15">
        <v>0</v>
      </c>
      <c r="L1053" s="15">
        <v>0</v>
      </c>
      <c r="M1053" s="188">
        <f t="shared" si="44"/>
        <v>0</v>
      </c>
      <c r="N1053" s="189"/>
      <c r="O1053" s="4"/>
    </row>
    <row r="1054" spans="1:15" x14ac:dyDescent="0.25">
      <c r="O1054" s="4"/>
    </row>
    <row r="1055" spans="1:15" ht="15.75" x14ac:dyDescent="0.25">
      <c r="A1055" s="177" t="s">
        <v>58</v>
      </c>
      <c r="B1055" s="177"/>
      <c r="C1055" s="177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4"/>
    </row>
    <row r="1056" spans="1:15" x14ac:dyDescent="0.25">
      <c r="A1056" s="178"/>
      <c r="B1056" s="179"/>
      <c r="C1056" s="179"/>
      <c r="D1056" s="179"/>
      <c r="E1056" s="179"/>
      <c r="F1056" s="179"/>
      <c r="G1056" s="179"/>
      <c r="H1056" s="179"/>
      <c r="I1056" s="179"/>
      <c r="J1056" s="179"/>
      <c r="K1056" s="179"/>
      <c r="L1056" s="179"/>
      <c r="M1056" s="179"/>
      <c r="N1056" s="180"/>
      <c r="O1056" s="10">
        <f>A1056</f>
        <v>0</v>
      </c>
    </row>
    <row r="1057" spans="1:15" x14ac:dyDescent="0.25">
      <c r="A1057" s="174" t="s">
        <v>59</v>
      </c>
      <c r="B1057" s="174"/>
      <c r="C1057" s="174"/>
      <c r="D1057" s="174"/>
      <c r="E1057" s="174"/>
      <c r="F1057" s="174"/>
      <c r="G1057" s="174"/>
      <c r="H1057" s="174"/>
      <c r="I1057" s="174"/>
      <c r="J1057" s="174"/>
      <c r="K1057" s="174"/>
      <c r="L1057" s="174"/>
      <c r="M1057" s="174"/>
      <c r="N1057" s="174"/>
      <c r="O1057" s="10"/>
    </row>
    <row r="1058" spans="1:15" x14ac:dyDescent="0.25">
      <c r="A1058" s="178"/>
      <c r="B1058" s="179"/>
      <c r="C1058" s="179"/>
      <c r="D1058" s="179"/>
      <c r="E1058" s="179"/>
      <c r="F1058" s="179"/>
      <c r="G1058" s="179"/>
      <c r="H1058" s="179"/>
      <c r="I1058" s="179"/>
      <c r="J1058" s="179"/>
      <c r="K1058" s="179"/>
      <c r="L1058" s="179"/>
      <c r="M1058" s="179"/>
      <c r="N1058" s="180"/>
      <c r="O1058" s="10">
        <f t="shared" ref="O1058:O1079" si="45">A1058</f>
        <v>0</v>
      </c>
    </row>
    <row r="1059" spans="1:15" x14ac:dyDescent="0.25">
      <c r="A1059" s="176" t="s">
        <v>60</v>
      </c>
      <c r="B1059" s="176"/>
      <c r="C1059" s="176"/>
      <c r="D1059" s="176"/>
      <c r="E1059" s="176"/>
      <c r="F1059" s="176"/>
      <c r="G1059" s="176"/>
      <c r="H1059" s="176"/>
      <c r="I1059" s="176"/>
      <c r="J1059" s="176"/>
      <c r="K1059" s="176"/>
      <c r="L1059" s="176"/>
      <c r="M1059" s="176" t="s">
        <v>61</v>
      </c>
      <c r="N1059" s="176"/>
      <c r="O1059" s="10"/>
    </row>
    <row r="1060" spans="1:15" x14ac:dyDescent="0.25">
      <c r="A1060" s="176" t="s">
        <v>62</v>
      </c>
      <c r="B1060" s="176"/>
      <c r="C1060" s="176"/>
      <c r="D1060" s="176"/>
      <c r="E1060" s="176"/>
      <c r="F1060" s="176"/>
      <c r="G1060" s="176"/>
      <c r="H1060" s="176"/>
      <c r="I1060" s="176"/>
      <c r="J1060" s="176"/>
      <c r="K1060" s="176"/>
      <c r="L1060" s="176"/>
      <c r="M1060" s="176" t="s">
        <v>61</v>
      </c>
      <c r="N1060" s="176"/>
      <c r="O1060" s="10"/>
    </row>
    <row r="1061" spans="1:15" x14ac:dyDescent="0.25">
      <c r="O1061" s="10"/>
    </row>
    <row r="1062" spans="1:15" ht="15.75" x14ac:dyDescent="0.25">
      <c r="A1062" s="184" t="s">
        <v>63</v>
      </c>
      <c r="B1062" s="185"/>
      <c r="C1062" s="185"/>
      <c r="D1062" s="185"/>
      <c r="E1062" s="185"/>
      <c r="F1062" s="185"/>
      <c r="G1062" s="185"/>
      <c r="H1062" s="185"/>
      <c r="I1062" s="185"/>
      <c r="J1062" s="185"/>
      <c r="K1062" s="185"/>
      <c r="L1062" s="185"/>
      <c r="M1062" s="185"/>
      <c r="N1062" s="186"/>
      <c r="O1062" s="10"/>
    </row>
    <row r="1063" spans="1:15" x14ac:dyDescent="0.25">
      <c r="A1063" s="178"/>
      <c r="B1063" s="179"/>
      <c r="C1063" s="179"/>
      <c r="D1063" s="179"/>
      <c r="E1063" s="179"/>
      <c r="F1063" s="179"/>
      <c r="G1063" s="179"/>
      <c r="H1063" s="179"/>
      <c r="I1063" s="179"/>
      <c r="J1063" s="179"/>
      <c r="K1063" s="179"/>
      <c r="L1063" s="179"/>
      <c r="M1063" s="179"/>
      <c r="N1063" s="179"/>
      <c r="O1063" s="10">
        <f t="shared" si="45"/>
        <v>0</v>
      </c>
    </row>
    <row r="1064" spans="1:15" x14ac:dyDescent="0.25">
      <c r="A1064" s="174" t="s">
        <v>64</v>
      </c>
      <c r="B1064" s="174"/>
      <c r="C1064" s="174"/>
      <c r="D1064" s="174"/>
      <c r="E1064" s="174"/>
      <c r="F1064" s="174"/>
      <c r="G1064" s="174"/>
      <c r="H1064" s="174"/>
      <c r="I1064" s="174"/>
      <c r="J1064" s="174"/>
      <c r="K1064" s="174"/>
      <c r="L1064" s="174"/>
      <c r="M1064" s="174"/>
      <c r="N1064" s="174"/>
      <c r="O1064" s="10"/>
    </row>
    <row r="1065" spans="1:15" x14ac:dyDescent="0.25">
      <c r="A1065" s="178"/>
      <c r="B1065" s="179"/>
      <c r="C1065" s="179"/>
      <c r="D1065" s="179"/>
      <c r="E1065" s="179"/>
      <c r="F1065" s="179"/>
      <c r="G1065" s="179"/>
      <c r="H1065" s="179"/>
      <c r="I1065" s="179"/>
      <c r="J1065" s="179"/>
      <c r="K1065" s="179"/>
      <c r="L1065" s="179"/>
      <c r="M1065" s="179"/>
      <c r="N1065" s="180"/>
      <c r="O1065" s="10">
        <f t="shared" si="45"/>
        <v>0</v>
      </c>
    </row>
    <row r="1066" spans="1:15" x14ac:dyDescent="0.25">
      <c r="A1066" s="176" t="s">
        <v>60</v>
      </c>
      <c r="B1066" s="176"/>
      <c r="C1066" s="176"/>
      <c r="D1066" s="176"/>
      <c r="E1066" s="176"/>
      <c r="F1066" s="176"/>
      <c r="G1066" s="176"/>
      <c r="H1066" s="176"/>
      <c r="I1066" s="176"/>
      <c r="J1066" s="176"/>
      <c r="K1066" s="176"/>
      <c r="L1066" s="176"/>
      <c r="M1066" s="176" t="s">
        <v>61</v>
      </c>
      <c r="N1066" s="176"/>
      <c r="O1066" s="10"/>
    </row>
    <row r="1067" spans="1:15" x14ac:dyDescent="0.25">
      <c r="A1067" s="176" t="s">
        <v>62</v>
      </c>
      <c r="B1067" s="176"/>
      <c r="C1067" s="176"/>
      <c r="D1067" s="176"/>
      <c r="E1067" s="176"/>
      <c r="F1067" s="176"/>
      <c r="G1067" s="176"/>
      <c r="H1067" s="176"/>
      <c r="I1067" s="176"/>
      <c r="J1067" s="176"/>
      <c r="K1067" s="176"/>
      <c r="L1067" s="176"/>
      <c r="M1067" s="176" t="s">
        <v>61</v>
      </c>
      <c r="N1067" s="176"/>
      <c r="O1067" s="10"/>
    </row>
    <row r="1068" spans="1:15" x14ac:dyDescent="0.25">
      <c r="O1068" s="10"/>
    </row>
    <row r="1069" spans="1:15" ht="15.75" x14ac:dyDescent="0.25">
      <c r="A1069" s="177" t="s">
        <v>65</v>
      </c>
      <c r="B1069" s="177"/>
      <c r="C1069" s="177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0"/>
    </row>
    <row r="1070" spans="1:15" x14ac:dyDescent="0.25">
      <c r="A1070" s="178"/>
      <c r="B1070" s="179"/>
      <c r="C1070" s="179"/>
      <c r="D1070" s="179"/>
      <c r="E1070" s="179"/>
      <c r="F1070" s="179"/>
      <c r="G1070" s="179"/>
      <c r="H1070" s="179"/>
      <c r="I1070" s="179"/>
      <c r="J1070" s="179"/>
      <c r="K1070" s="179"/>
      <c r="L1070" s="179"/>
      <c r="M1070" s="179"/>
      <c r="N1070" s="180"/>
      <c r="O1070" s="10">
        <f t="shared" si="45"/>
        <v>0</v>
      </c>
    </row>
    <row r="1071" spans="1:15" x14ac:dyDescent="0.25">
      <c r="A1071" s="174" t="s">
        <v>66</v>
      </c>
      <c r="B1071" s="174"/>
      <c r="C1071" s="174"/>
      <c r="D1071" s="174"/>
      <c r="E1071" s="174"/>
      <c r="F1071" s="174"/>
      <c r="G1071" s="174"/>
      <c r="H1071" s="174"/>
      <c r="I1071" s="174"/>
      <c r="J1071" s="174"/>
      <c r="K1071" s="174"/>
      <c r="L1071" s="174"/>
      <c r="M1071" s="174"/>
      <c r="N1071" s="174"/>
      <c r="O1071" s="10"/>
    </row>
    <row r="1072" spans="1:15" x14ac:dyDescent="0.25">
      <c r="A1072" s="178"/>
      <c r="B1072" s="179"/>
      <c r="C1072" s="179"/>
      <c r="D1072" s="179"/>
      <c r="E1072" s="179"/>
      <c r="F1072" s="179"/>
      <c r="G1072" s="179"/>
      <c r="H1072" s="179"/>
      <c r="I1072" s="179"/>
      <c r="J1072" s="179"/>
      <c r="K1072" s="179"/>
      <c r="L1072" s="179"/>
      <c r="M1072" s="179"/>
      <c r="N1072" s="180"/>
      <c r="O1072" s="10">
        <f t="shared" si="45"/>
        <v>0</v>
      </c>
    </row>
    <row r="1073" spans="1:15" x14ac:dyDescent="0.25">
      <c r="A1073" s="187" t="s">
        <v>60</v>
      </c>
      <c r="B1073" s="187"/>
      <c r="C1073" s="187"/>
      <c r="D1073" s="187"/>
      <c r="E1073" s="187"/>
      <c r="F1073" s="187"/>
      <c r="G1073" s="187"/>
      <c r="H1073" s="187"/>
      <c r="I1073" s="187"/>
      <c r="J1073" s="187"/>
      <c r="K1073" s="187"/>
      <c r="L1073" s="187"/>
      <c r="M1073" s="176" t="s">
        <v>61</v>
      </c>
      <c r="N1073" s="176"/>
      <c r="O1073" s="10"/>
    </row>
    <row r="1074" spans="1:15" x14ac:dyDescent="0.25">
      <c r="A1074" s="187" t="s">
        <v>62</v>
      </c>
      <c r="B1074" s="187"/>
      <c r="C1074" s="187"/>
      <c r="D1074" s="187"/>
      <c r="E1074" s="187"/>
      <c r="F1074" s="187"/>
      <c r="G1074" s="187"/>
      <c r="H1074" s="187"/>
      <c r="I1074" s="187"/>
      <c r="J1074" s="187"/>
      <c r="K1074" s="187"/>
      <c r="L1074" s="187"/>
      <c r="M1074" s="176" t="s">
        <v>61</v>
      </c>
      <c r="N1074" s="176"/>
      <c r="O1074" s="10"/>
    </row>
    <row r="1075" spans="1:15" x14ac:dyDescent="0.25">
      <c r="O1075" s="10"/>
    </row>
    <row r="1076" spans="1:15" ht="15.75" x14ac:dyDescent="0.25">
      <c r="A1076" s="184" t="s">
        <v>67</v>
      </c>
      <c r="B1076" s="185"/>
      <c r="C1076" s="185"/>
      <c r="D1076" s="185"/>
      <c r="E1076" s="185"/>
      <c r="F1076" s="185"/>
      <c r="G1076" s="185"/>
      <c r="H1076" s="185"/>
      <c r="I1076" s="185"/>
      <c r="J1076" s="185"/>
      <c r="K1076" s="185"/>
      <c r="L1076" s="185"/>
      <c r="M1076" s="185"/>
      <c r="N1076" s="186"/>
      <c r="O1076" s="10"/>
    </row>
    <row r="1077" spans="1:15" x14ac:dyDescent="0.25">
      <c r="A1077" s="178"/>
      <c r="B1077" s="179"/>
      <c r="C1077" s="179"/>
      <c r="D1077" s="179"/>
      <c r="E1077" s="179"/>
      <c r="F1077" s="179"/>
      <c r="G1077" s="179"/>
      <c r="H1077" s="179"/>
      <c r="I1077" s="179"/>
      <c r="J1077" s="179"/>
      <c r="K1077" s="179"/>
      <c r="L1077" s="179"/>
      <c r="M1077" s="179"/>
      <c r="N1077" s="180"/>
      <c r="O1077" s="10">
        <f t="shared" si="45"/>
        <v>0</v>
      </c>
    </row>
    <row r="1078" spans="1:15" x14ac:dyDescent="0.25">
      <c r="A1078" s="174" t="s">
        <v>68</v>
      </c>
      <c r="B1078" s="174"/>
      <c r="C1078" s="174"/>
      <c r="D1078" s="174"/>
      <c r="E1078" s="174"/>
      <c r="F1078" s="174"/>
      <c r="G1078" s="174"/>
      <c r="H1078" s="174"/>
      <c r="I1078" s="174"/>
      <c r="J1078" s="174"/>
      <c r="K1078" s="174"/>
      <c r="L1078" s="174"/>
      <c r="M1078" s="174"/>
      <c r="N1078" s="174"/>
      <c r="O1078" s="10"/>
    </row>
    <row r="1079" spans="1:15" x14ac:dyDescent="0.25">
      <c r="A1079" s="178"/>
      <c r="B1079" s="179"/>
      <c r="C1079" s="179"/>
      <c r="D1079" s="179"/>
      <c r="E1079" s="179"/>
      <c r="F1079" s="179"/>
      <c r="G1079" s="179"/>
      <c r="H1079" s="179"/>
      <c r="I1079" s="179"/>
      <c r="J1079" s="179"/>
      <c r="K1079" s="179"/>
      <c r="L1079" s="179"/>
      <c r="M1079" s="179"/>
      <c r="N1079" s="180"/>
      <c r="O1079" s="10">
        <f t="shared" si="45"/>
        <v>0</v>
      </c>
    </row>
    <row r="1080" spans="1:15" x14ac:dyDescent="0.25">
      <c r="A1080" s="176" t="s">
        <v>60</v>
      </c>
      <c r="B1080" s="176"/>
      <c r="C1080" s="176"/>
      <c r="D1080" s="176"/>
      <c r="E1080" s="176"/>
      <c r="F1080" s="176"/>
      <c r="G1080" s="176"/>
      <c r="H1080" s="176"/>
      <c r="I1080" s="176"/>
      <c r="J1080" s="176"/>
      <c r="K1080" s="176"/>
      <c r="L1080" s="176"/>
      <c r="M1080" s="176" t="s">
        <v>61</v>
      </c>
      <c r="N1080" s="176"/>
      <c r="O1080" s="10"/>
    </row>
    <row r="1081" spans="1:15" x14ac:dyDescent="0.25">
      <c r="A1081" s="176" t="s">
        <v>62</v>
      </c>
      <c r="B1081" s="176"/>
      <c r="C1081" s="176"/>
      <c r="D1081" s="176"/>
      <c r="E1081" s="176"/>
      <c r="F1081" s="176"/>
      <c r="G1081" s="176"/>
      <c r="H1081" s="176"/>
      <c r="I1081" s="176"/>
      <c r="J1081" s="176"/>
      <c r="K1081" s="176"/>
      <c r="L1081" s="176"/>
      <c r="M1081" s="176" t="s">
        <v>61</v>
      </c>
      <c r="N1081" s="176"/>
      <c r="O1081" s="10"/>
    </row>
    <row r="1082" spans="1:15" x14ac:dyDescent="0.25">
      <c r="A1082" s="209" t="s">
        <v>91</v>
      </c>
      <c r="B1082" s="209"/>
      <c r="C1082" s="209"/>
      <c r="D1082" s="209"/>
      <c r="E1082" s="209"/>
      <c r="F1082" s="209"/>
      <c r="G1082" s="209"/>
      <c r="H1082" s="209"/>
      <c r="I1082" s="209"/>
      <c r="J1082" s="209"/>
      <c r="K1082" s="209"/>
      <c r="L1082" s="209"/>
      <c r="M1082" s="209"/>
      <c r="N1082" s="209"/>
      <c r="O1082" s="4"/>
    </row>
    <row r="1083" spans="1:15" x14ac:dyDescent="0.25">
      <c r="A1083" s="209" t="s">
        <v>89</v>
      </c>
      <c r="B1083" s="209"/>
      <c r="C1083" s="209"/>
      <c r="D1083" s="209"/>
      <c r="E1083" s="209"/>
      <c r="F1083" s="209"/>
      <c r="G1083" s="209"/>
      <c r="H1083" s="209"/>
      <c r="I1083" s="209"/>
      <c r="J1083" s="209"/>
      <c r="K1083" s="209"/>
      <c r="L1083" s="209"/>
      <c r="M1083" s="209"/>
      <c r="N1083" s="209"/>
      <c r="O1083" s="4"/>
    </row>
    <row r="1084" spans="1:15" x14ac:dyDescent="0.25">
      <c r="A1084" s="209" t="s">
        <v>44</v>
      </c>
      <c r="B1084" s="209"/>
      <c r="C1084" s="209"/>
      <c r="D1084" s="209"/>
      <c r="E1084" s="209"/>
      <c r="F1084" s="209"/>
      <c r="G1084" s="209"/>
      <c r="H1084" s="209"/>
      <c r="I1084" s="209"/>
      <c r="J1084" s="209"/>
      <c r="K1084" s="209"/>
      <c r="L1084" s="209"/>
      <c r="M1084" s="209"/>
      <c r="N1084" s="209"/>
      <c r="O1084" s="4"/>
    </row>
    <row r="1085" spans="1:15" ht="15.75" x14ac:dyDescent="0.25">
      <c r="A1085" s="210" t="s">
        <v>72</v>
      </c>
      <c r="B1085" s="210"/>
      <c r="C1085" s="210"/>
      <c r="D1085" s="210"/>
      <c r="E1085" s="210"/>
      <c r="F1085" s="210"/>
      <c r="G1085" s="210"/>
      <c r="H1085" s="210"/>
      <c r="I1085" s="210"/>
      <c r="J1085" s="210"/>
      <c r="K1085" s="210"/>
      <c r="L1085" s="210"/>
      <c r="M1085" s="210"/>
      <c r="N1085" s="210"/>
      <c r="O1085" s="4"/>
    </row>
    <row r="1086" spans="1:15" ht="15.75" x14ac:dyDescent="0.25">
      <c r="A1086" s="211" t="s">
        <v>125</v>
      </c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211"/>
      <c r="N1086" s="211"/>
      <c r="O1086" s="4"/>
    </row>
    <row r="1087" spans="1:15" ht="15.75" x14ac:dyDescent="0.25">
      <c r="A1087" s="5" t="s">
        <v>46</v>
      </c>
      <c r="B1087" s="208" t="s">
        <v>123</v>
      </c>
      <c r="C1087" s="208"/>
      <c r="D1087" s="208"/>
      <c r="E1087" s="208"/>
      <c r="F1087" s="208"/>
      <c r="G1087" s="208"/>
      <c r="H1087" s="208"/>
      <c r="I1087" s="208"/>
      <c r="J1087" s="208"/>
      <c r="K1087" s="208"/>
      <c r="L1087" s="208"/>
      <c r="M1087" s="208"/>
      <c r="N1087" s="208"/>
      <c r="O1087" s="4"/>
    </row>
    <row r="1088" spans="1:15" ht="15.75" x14ac:dyDescent="0.25">
      <c r="A1088" s="5" t="s">
        <v>47</v>
      </c>
      <c r="B1088" s="175" t="s">
        <v>116</v>
      </c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4" t="s">
        <v>74</v>
      </c>
      <c r="M1088" s="174"/>
      <c r="N1088" s="34">
        <v>41508.62401760088</v>
      </c>
      <c r="O1088" s="4"/>
    </row>
    <row r="1089" spans="1:15" x14ac:dyDescent="0.25">
      <c r="A1089" s="6" t="s">
        <v>21</v>
      </c>
      <c r="B1089" s="7" t="s">
        <v>92</v>
      </c>
      <c r="C1089" s="6" t="s">
        <v>22</v>
      </c>
      <c r="D1089" s="7">
        <v>2020</v>
      </c>
      <c r="E1089" s="194" t="s">
        <v>20</v>
      </c>
      <c r="F1089" s="194"/>
      <c r="G1089" s="194"/>
      <c r="H1089" s="195" t="s">
        <v>124</v>
      </c>
      <c r="I1089" s="196"/>
      <c r="J1089" s="196"/>
      <c r="K1089" s="196"/>
      <c r="L1089" s="196"/>
      <c r="M1089" s="196"/>
      <c r="N1089" s="197"/>
      <c r="O1089" s="4"/>
    </row>
    <row r="1090" spans="1:15" x14ac:dyDescent="0.25">
      <c r="A1090" s="198" t="s">
        <v>48</v>
      </c>
      <c r="B1090" s="199"/>
      <c r="C1090" s="200"/>
      <c r="D1090" s="204" t="s">
        <v>49</v>
      </c>
      <c r="E1090" s="205"/>
      <c r="F1090" s="205"/>
      <c r="G1090" s="205"/>
      <c r="H1090" s="206"/>
      <c r="I1090" s="207" t="s">
        <v>50</v>
      </c>
      <c r="J1090" s="207"/>
      <c r="K1090" s="207"/>
      <c r="L1090" s="207"/>
      <c r="M1090" s="207"/>
      <c r="N1090" s="207"/>
      <c r="O1090" s="4"/>
    </row>
    <row r="1091" spans="1:15" ht="30" x14ac:dyDescent="0.25">
      <c r="A1091" s="201"/>
      <c r="B1091" s="202"/>
      <c r="C1091" s="203"/>
      <c r="D1091" s="8" t="s">
        <v>51</v>
      </c>
      <c r="E1091" s="8" t="s">
        <v>52</v>
      </c>
      <c r="F1091" s="8" t="s">
        <v>53</v>
      </c>
      <c r="G1091" s="8" t="s">
        <v>54</v>
      </c>
      <c r="H1091" s="8" t="s">
        <v>55</v>
      </c>
      <c r="I1091" s="33" t="s">
        <v>51</v>
      </c>
      <c r="J1091" s="33" t="s">
        <v>52</v>
      </c>
      <c r="K1091" s="33" t="s">
        <v>53</v>
      </c>
      <c r="L1091" s="33" t="s">
        <v>54</v>
      </c>
      <c r="M1091" s="201" t="s">
        <v>56</v>
      </c>
      <c r="N1091" s="203"/>
      <c r="O1091" s="4"/>
    </row>
    <row r="1092" spans="1:15" x14ac:dyDescent="0.25">
      <c r="A1092" s="181" t="s">
        <v>2</v>
      </c>
      <c r="B1092" s="182"/>
      <c r="C1092" s="183"/>
      <c r="D1092" s="9" t="s">
        <v>57</v>
      </c>
      <c r="E1092" s="9" t="s">
        <v>57</v>
      </c>
      <c r="F1092" s="9" t="s">
        <v>57</v>
      </c>
      <c r="G1092" s="9" t="s">
        <v>57</v>
      </c>
      <c r="H1092" s="9"/>
      <c r="I1092" s="15">
        <v>0</v>
      </c>
      <c r="J1092" s="15">
        <v>0</v>
      </c>
      <c r="K1092" s="15">
        <v>0</v>
      </c>
      <c r="L1092" s="15">
        <v>0</v>
      </c>
      <c r="M1092" s="190">
        <f>I1092+J1092+K1092+L1092</f>
        <v>0</v>
      </c>
      <c r="N1092" s="191"/>
      <c r="O1092" s="4"/>
    </row>
    <row r="1093" spans="1:15" x14ac:dyDescent="0.25">
      <c r="A1093" s="181" t="s">
        <v>3</v>
      </c>
      <c r="B1093" s="182"/>
      <c r="C1093" s="183"/>
      <c r="D1093" s="9" t="s">
        <v>57</v>
      </c>
      <c r="E1093" s="9" t="s">
        <v>57</v>
      </c>
      <c r="F1093" s="9" t="s">
        <v>57</v>
      </c>
      <c r="G1093" s="9" t="s">
        <v>57</v>
      </c>
      <c r="H1093" s="9"/>
      <c r="I1093" s="15">
        <v>0</v>
      </c>
      <c r="J1093" s="15">
        <v>0</v>
      </c>
      <c r="K1093" s="15">
        <v>0</v>
      </c>
      <c r="L1093" s="15">
        <v>0</v>
      </c>
      <c r="M1093" s="192">
        <f t="shared" ref="M1093:M1100" si="46">I1093+J1093+K1093+L1093</f>
        <v>0</v>
      </c>
      <c r="N1093" s="193"/>
      <c r="O1093" s="4"/>
    </row>
    <row r="1094" spans="1:15" x14ac:dyDescent="0.25">
      <c r="A1094" s="181" t="s">
        <v>4</v>
      </c>
      <c r="B1094" s="182"/>
      <c r="C1094" s="183"/>
      <c r="D1094" s="9" t="s">
        <v>57</v>
      </c>
      <c r="E1094" s="9" t="s">
        <v>57</v>
      </c>
      <c r="F1094" s="9" t="s">
        <v>57</v>
      </c>
      <c r="G1094" s="9" t="s">
        <v>57</v>
      </c>
      <c r="H1094" s="9"/>
      <c r="I1094" s="15">
        <v>0</v>
      </c>
      <c r="J1094" s="15">
        <v>0</v>
      </c>
      <c r="K1094" s="15">
        <v>0</v>
      </c>
      <c r="L1094" s="15">
        <v>0</v>
      </c>
      <c r="M1094" s="192">
        <f t="shared" si="46"/>
        <v>0</v>
      </c>
      <c r="N1094" s="193"/>
      <c r="O1094" s="4"/>
    </row>
    <row r="1095" spans="1:15" x14ac:dyDescent="0.25">
      <c r="A1095" s="181" t="s">
        <v>5</v>
      </c>
      <c r="B1095" s="182"/>
      <c r="C1095" s="183"/>
      <c r="D1095" s="9" t="s">
        <v>57</v>
      </c>
      <c r="E1095" s="9" t="s">
        <v>57</v>
      </c>
      <c r="F1095" s="9" t="s">
        <v>57</v>
      </c>
      <c r="G1095" s="9" t="s">
        <v>57</v>
      </c>
      <c r="H1095" s="9"/>
      <c r="I1095" s="15">
        <v>0</v>
      </c>
      <c r="J1095" s="15">
        <v>0</v>
      </c>
      <c r="K1095" s="15">
        <v>0</v>
      </c>
      <c r="L1095" s="15">
        <v>0</v>
      </c>
      <c r="M1095" s="192">
        <f t="shared" si="46"/>
        <v>0</v>
      </c>
      <c r="N1095" s="193"/>
      <c r="O1095" s="4"/>
    </row>
    <row r="1096" spans="1:15" x14ac:dyDescent="0.25">
      <c r="A1096" s="181" t="s">
        <v>6</v>
      </c>
      <c r="B1096" s="182"/>
      <c r="C1096" s="183"/>
      <c r="D1096" s="9" t="s">
        <v>57</v>
      </c>
      <c r="E1096" s="9" t="s">
        <v>57</v>
      </c>
      <c r="F1096" s="9" t="s">
        <v>57</v>
      </c>
      <c r="G1096" s="9" t="s">
        <v>57</v>
      </c>
      <c r="H1096" s="9"/>
      <c r="I1096" s="15">
        <v>0</v>
      </c>
      <c r="J1096" s="15">
        <v>0</v>
      </c>
      <c r="K1096" s="15">
        <v>0</v>
      </c>
      <c r="L1096" s="15">
        <v>0</v>
      </c>
      <c r="M1096" s="192">
        <f t="shared" si="46"/>
        <v>0</v>
      </c>
      <c r="N1096" s="193"/>
      <c r="O1096" s="4"/>
    </row>
    <row r="1097" spans="1:15" x14ac:dyDescent="0.25">
      <c r="A1097" s="181" t="s">
        <v>8</v>
      </c>
      <c r="B1097" s="182"/>
      <c r="C1097" s="183"/>
      <c r="D1097" s="9" t="s">
        <v>57</v>
      </c>
      <c r="E1097" s="9" t="s">
        <v>57</v>
      </c>
      <c r="F1097" s="9" t="s">
        <v>57</v>
      </c>
      <c r="G1097" s="9" t="s">
        <v>57</v>
      </c>
      <c r="H1097" s="9"/>
      <c r="I1097" s="15">
        <v>0</v>
      </c>
      <c r="J1097" s="15">
        <v>0</v>
      </c>
      <c r="K1097" s="15">
        <v>0</v>
      </c>
      <c r="L1097" s="15">
        <v>0</v>
      </c>
      <c r="M1097" s="192">
        <f t="shared" si="46"/>
        <v>0</v>
      </c>
      <c r="N1097" s="193"/>
      <c r="O1097" s="4"/>
    </row>
    <row r="1098" spans="1:15" x14ac:dyDescent="0.25">
      <c r="A1098" s="181" t="s">
        <v>38</v>
      </c>
      <c r="B1098" s="182"/>
      <c r="C1098" s="183"/>
      <c r="D1098" s="9" t="s">
        <v>57</v>
      </c>
      <c r="E1098" s="9" t="s">
        <v>57</v>
      </c>
      <c r="F1098" s="9" t="s">
        <v>57</v>
      </c>
      <c r="G1098" s="9" t="s">
        <v>57</v>
      </c>
      <c r="H1098" s="9"/>
      <c r="I1098" s="15">
        <v>0</v>
      </c>
      <c r="J1098" s="15">
        <v>0</v>
      </c>
      <c r="K1098" s="15">
        <v>0</v>
      </c>
      <c r="L1098" s="15">
        <v>0</v>
      </c>
      <c r="M1098" s="192">
        <f t="shared" si="46"/>
        <v>0</v>
      </c>
      <c r="N1098" s="193"/>
      <c r="O1098" s="4"/>
    </row>
    <row r="1099" spans="1:15" x14ac:dyDescent="0.25">
      <c r="A1099" s="181" t="s">
        <v>7</v>
      </c>
      <c r="B1099" s="182"/>
      <c r="C1099" s="183"/>
      <c r="D1099" s="9" t="s">
        <v>57</v>
      </c>
      <c r="E1099" s="9" t="s">
        <v>57</v>
      </c>
      <c r="F1099" s="9" t="s">
        <v>57</v>
      </c>
      <c r="G1099" s="9" t="s">
        <v>57</v>
      </c>
      <c r="H1099" s="9"/>
      <c r="I1099" s="15">
        <v>0</v>
      </c>
      <c r="J1099" s="15">
        <v>0</v>
      </c>
      <c r="K1099" s="15">
        <v>0</v>
      </c>
      <c r="L1099" s="15">
        <v>0</v>
      </c>
      <c r="M1099" s="192">
        <f t="shared" si="46"/>
        <v>0</v>
      </c>
      <c r="N1099" s="193"/>
      <c r="O1099" s="4"/>
    </row>
    <row r="1100" spans="1:15" x14ac:dyDescent="0.25">
      <c r="A1100" s="181" t="s">
        <v>90</v>
      </c>
      <c r="B1100" s="182"/>
      <c r="C1100" s="183"/>
      <c r="D1100" s="9" t="s">
        <v>57</v>
      </c>
      <c r="E1100" s="9" t="s">
        <v>57</v>
      </c>
      <c r="F1100" s="9" t="s">
        <v>57</v>
      </c>
      <c r="G1100" s="9" t="s">
        <v>57</v>
      </c>
      <c r="H1100" s="9"/>
      <c r="I1100" s="15">
        <v>0</v>
      </c>
      <c r="J1100" s="15">
        <v>0</v>
      </c>
      <c r="K1100" s="15">
        <v>0</v>
      </c>
      <c r="L1100" s="15">
        <v>0</v>
      </c>
      <c r="M1100" s="188">
        <f t="shared" si="46"/>
        <v>0</v>
      </c>
      <c r="N1100" s="189"/>
      <c r="O1100" s="4"/>
    </row>
    <row r="1101" spans="1:15" x14ac:dyDescent="0.25">
      <c r="O1101" s="4"/>
    </row>
    <row r="1102" spans="1:15" ht="15.75" x14ac:dyDescent="0.25">
      <c r="A1102" s="177" t="s">
        <v>58</v>
      </c>
      <c r="B1102" s="177"/>
      <c r="C1102" s="177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4"/>
    </row>
    <row r="1103" spans="1:15" x14ac:dyDescent="0.25">
      <c r="A1103" s="178"/>
      <c r="B1103" s="179"/>
      <c r="C1103" s="179"/>
      <c r="D1103" s="179"/>
      <c r="E1103" s="179"/>
      <c r="F1103" s="179"/>
      <c r="G1103" s="179"/>
      <c r="H1103" s="179"/>
      <c r="I1103" s="179"/>
      <c r="J1103" s="179"/>
      <c r="K1103" s="179"/>
      <c r="L1103" s="179"/>
      <c r="M1103" s="179"/>
      <c r="N1103" s="180"/>
      <c r="O1103" s="10">
        <f>A1103</f>
        <v>0</v>
      </c>
    </row>
    <row r="1104" spans="1:15" x14ac:dyDescent="0.25">
      <c r="A1104" s="174" t="s">
        <v>59</v>
      </c>
      <c r="B1104" s="174"/>
      <c r="C1104" s="174"/>
      <c r="D1104" s="174"/>
      <c r="E1104" s="174"/>
      <c r="F1104" s="174"/>
      <c r="G1104" s="174"/>
      <c r="H1104" s="174"/>
      <c r="I1104" s="174"/>
      <c r="J1104" s="174"/>
      <c r="K1104" s="174"/>
      <c r="L1104" s="174"/>
      <c r="M1104" s="174"/>
      <c r="N1104" s="174"/>
      <c r="O1104" s="10"/>
    </row>
    <row r="1105" spans="1:15" x14ac:dyDescent="0.25">
      <c r="A1105" s="178"/>
      <c r="B1105" s="179"/>
      <c r="C1105" s="179"/>
      <c r="D1105" s="179"/>
      <c r="E1105" s="179"/>
      <c r="F1105" s="179"/>
      <c r="G1105" s="179"/>
      <c r="H1105" s="179"/>
      <c r="I1105" s="179"/>
      <c r="J1105" s="179"/>
      <c r="K1105" s="179"/>
      <c r="L1105" s="179"/>
      <c r="M1105" s="179"/>
      <c r="N1105" s="180"/>
      <c r="O1105" s="10">
        <f t="shared" ref="O1105:O1126" si="47">A1105</f>
        <v>0</v>
      </c>
    </row>
    <row r="1106" spans="1:15" x14ac:dyDescent="0.25">
      <c r="A1106" s="176" t="s">
        <v>60</v>
      </c>
      <c r="B1106" s="176"/>
      <c r="C1106" s="176"/>
      <c r="D1106" s="176"/>
      <c r="E1106" s="176"/>
      <c r="F1106" s="176"/>
      <c r="G1106" s="176"/>
      <c r="H1106" s="176"/>
      <c r="I1106" s="176"/>
      <c r="J1106" s="176"/>
      <c r="K1106" s="176"/>
      <c r="L1106" s="176"/>
      <c r="M1106" s="176" t="s">
        <v>61</v>
      </c>
      <c r="N1106" s="176"/>
      <c r="O1106" s="10"/>
    </row>
    <row r="1107" spans="1:15" x14ac:dyDescent="0.25">
      <c r="A1107" s="176" t="s">
        <v>62</v>
      </c>
      <c r="B1107" s="176"/>
      <c r="C1107" s="176"/>
      <c r="D1107" s="176"/>
      <c r="E1107" s="176"/>
      <c r="F1107" s="176"/>
      <c r="G1107" s="176"/>
      <c r="H1107" s="176"/>
      <c r="I1107" s="176"/>
      <c r="J1107" s="176"/>
      <c r="K1107" s="176"/>
      <c r="L1107" s="176"/>
      <c r="M1107" s="176" t="s">
        <v>61</v>
      </c>
      <c r="N1107" s="176"/>
      <c r="O1107" s="10"/>
    </row>
    <row r="1108" spans="1:15" x14ac:dyDescent="0.25">
      <c r="O1108" s="10"/>
    </row>
    <row r="1109" spans="1:15" ht="15.75" x14ac:dyDescent="0.25">
      <c r="A1109" s="184" t="s">
        <v>63</v>
      </c>
      <c r="B1109" s="185"/>
      <c r="C1109" s="185"/>
      <c r="D1109" s="185"/>
      <c r="E1109" s="185"/>
      <c r="F1109" s="185"/>
      <c r="G1109" s="185"/>
      <c r="H1109" s="185"/>
      <c r="I1109" s="185"/>
      <c r="J1109" s="185"/>
      <c r="K1109" s="185"/>
      <c r="L1109" s="185"/>
      <c r="M1109" s="185"/>
      <c r="N1109" s="186"/>
      <c r="O1109" s="10"/>
    </row>
    <row r="1110" spans="1:15" x14ac:dyDescent="0.25">
      <c r="A1110" s="178"/>
      <c r="B1110" s="179"/>
      <c r="C1110" s="179"/>
      <c r="D1110" s="179"/>
      <c r="E1110" s="179"/>
      <c r="F1110" s="179"/>
      <c r="G1110" s="179"/>
      <c r="H1110" s="179"/>
      <c r="I1110" s="179"/>
      <c r="J1110" s="179"/>
      <c r="K1110" s="179"/>
      <c r="L1110" s="179"/>
      <c r="M1110" s="179"/>
      <c r="N1110" s="179"/>
      <c r="O1110" s="10">
        <f t="shared" si="47"/>
        <v>0</v>
      </c>
    </row>
    <row r="1111" spans="1:15" x14ac:dyDescent="0.25">
      <c r="A1111" s="174" t="s">
        <v>64</v>
      </c>
      <c r="B1111" s="174"/>
      <c r="C1111" s="174"/>
      <c r="D1111" s="174"/>
      <c r="E1111" s="174"/>
      <c r="F1111" s="174"/>
      <c r="G1111" s="174"/>
      <c r="H1111" s="174"/>
      <c r="I1111" s="174"/>
      <c r="J1111" s="174"/>
      <c r="K1111" s="174"/>
      <c r="L1111" s="174"/>
      <c r="M1111" s="174"/>
      <c r="N1111" s="174"/>
      <c r="O1111" s="10"/>
    </row>
    <row r="1112" spans="1:15" x14ac:dyDescent="0.25">
      <c r="A1112" s="178"/>
      <c r="B1112" s="179"/>
      <c r="C1112" s="179"/>
      <c r="D1112" s="179"/>
      <c r="E1112" s="179"/>
      <c r="F1112" s="179"/>
      <c r="G1112" s="179"/>
      <c r="H1112" s="179"/>
      <c r="I1112" s="179"/>
      <c r="J1112" s="179"/>
      <c r="K1112" s="179"/>
      <c r="L1112" s="179"/>
      <c r="M1112" s="179"/>
      <c r="N1112" s="180"/>
      <c r="O1112" s="10">
        <f t="shared" si="47"/>
        <v>0</v>
      </c>
    </row>
    <row r="1113" spans="1:15" x14ac:dyDescent="0.25">
      <c r="A1113" s="176" t="s">
        <v>60</v>
      </c>
      <c r="B1113" s="176"/>
      <c r="C1113" s="176"/>
      <c r="D1113" s="176"/>
      <c r="E1113" s="176"/>
      <c r="F1113" s="176"/>
      <c r="G1113" s="176"/>
      <c r="H1113" s="176"/>
      <c r="I1113" s="176"/>
      <c r="J1113" s="176"/>
      <c r="K1113" s="176"/>
      <c r="L1113" s="176"/>
      <c r="M1113" s="176" t="s">
        <v>61</v>
      </c>
      <c r="N1113" s="176"/>
      <c r="O1113" s="10"/>
    </row>
    <row r="1114" spans="1:15" x14ac:dyDescent="0.25">
      <c r="A1114" s="176" t="s">
        <v>62</v>
      </c>
      <c r="B1114" s="176"/>
      <c r="C1114" s="176"/>
      <c r="D1114" s="176"/>
      <c r="E1114" s="176"/>
      <c r="F1114" s="176"/>
      <c r="G1114" s="176"/>
      <c r="H1114" s="176"/>
      <c r="I1114" s="176"/>
      <c r="J1114" s="176"/>
      <c r="K1114" s="176"/>
      <c r="L1114" s="176"/>
      <c r="M1114" s="176" t="s">
        <v>61</v>
      </c>
      <c r="N1114" s="176"/>
      <c r="O1114" s="10"/>
    </row>
    <row r="1115" spans="1:15" x14ac:dyDescent="0.25">
      <c r="O1115" s="10"/>
    </row>
    <row r="1116" spans="1:15" ht="15.75" x14ac:dyDescent="0.25">
      <c r="A1116" s="177" t="s">
        <v>65</v>
      </c>
      <c r="B1116" s="177"/>
      <c r="C1116" s="177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0"/>
    </row>
    <row r="1117" spans="1:15" x14ac:dyDescent="0.25">
      <c r="A1117" s="178"/>
      <c r="B1117" s="179"/>
      <c r="C1117" s="179"/>
      <c r="D1117" s="179"/>
      <c r="E1117" s="179"/>
      <c r="F1117" s="179"/>
      <c r="G1117" s="179"/>
      <c r="H1117" s="179"/>
      <c r="I1117" s="179"/>
      <c r="J1117" s="179"/>
      <c r="K1117" s="179"/>
      <c r="L1117" s="179"/>
      <c r="M1117" s="179"/>
      <c r="N1117" s="180"/>
      <c r="O1117" s="10">
        <f t="shared" si="47"/>
        <v>0</v>
      </c>
    </row>
    <row r="1118" spans="1:15" x14ac:dyDescent="0.25">
      <c r="A1118" s="174" t="s">
        <v>66</v>
      </c>
      <c r="B1118" s="174"/>
      <c r="C1118" s="174"/>
      <c r="D1118" s="174"/>
      <c r="E1118" s="174"/>
      <c r="F1118" s="174"/>
      <c r="G1118" s="174"/>
      <c r="H1118" s="174"/>
      <c r="I1118" s="174"/>
      <c r="J1118" s="174"/>
      <c r="K1118" s="174"/>
      <c r="L1118" s="174"/>
      <c r="M1118" s="174"/>
      <c r="N1118" s="174"/>
      <c r="O1118" s="10"/>
    </row>
    <row r="1119" spans="1:15" x14ac:dyDescent="0.25">
      <c r="A1119" s="178"/>
      <c r="B1119" s="179"/>
      <c r="C1119" s="179"/>
      <c r="D1119" s="179"/>
      <c r="E1119" s="179"/>
      <c r="F1119" s="179"/>
      <c r="G1119" s="179"/>
      <c r="H1119" s="179"/>
      <c r="I1119" s="179"/>
      <c r="J1119" s="179"/>
      <c r="K1119" s="179"/>
      <c r="L1119" s="179"/>
      <c r="M1119" s="179"/>
      <c r="N1119" s="180"/>
      <c r="O1119" s="10">
        <f t="shared" si="47"/>
        <v>0</v>
      </c>
    </row>
    <row r="1120" spans="1:15" x14ac:dyDescent="0.25">
      <c r="A1120" s="187" t="s">
        <v>60</v>
      </c>
      <c r="B1120" s="187"/>
      <c r="C1120" s="187"/>
      <c r="D1120" s="187"/>
      <c r="E1120" s="187"/>
      <c r="F1120" s="187"/>
      <c r="G1120" s="187"/>
      <c r="H1120" s="187"/>
      <c r="I1120" s="187"/>
      <c r="J1120" s="187"/>
      <c r="K1120" s="187"/>
      <c r="L1120" s="187"/>
      <c r="M1120" s="176" t="s">
        <v>61</v>
      </c>
      <c r="N1120" s="176"/>
      <c r="O1120" s="10"/>
    </row>
    <row r="1121" spans="1:15" x14ac:dyDescent="0.25">
      <c r="A1121" s="187" t="s">
        <v>62</v>
      </c>
      <c r="B1121" s="187"/>
      <c r="C1121" s="187"/>
      <c r="D1121" s="187"/>
      <c r="E1121" s="187"/>
      <c r="F1121" s="187"/>
      <c r="G1121" s="187"/>
      <c r="H1121" s="187"/>
      <c r="I1121" s="187"/>
      <c r="J1121" s="187"/>
      <c r="K1121" s="187"/>
      <c r="L1121" s="187"/>
      <c r="M1121" s="176" t="s">
        <v>61</v>
      </c>
      <c r="N1121" s="176"/>
      <c r="O1121" s="10"/>
    </row>
    <row r="1122" spans="1:15" x14ac:dyDescent="0.25">
      <c r="O1122" s="10"/>
    </row>
    <row r="1123" spans="1:15" ht="15.75" x14ac:dyDescent="0.25">
      <c r="A1123" s="184" t="s">
        <v>67</v>
      </c>
      <c r="B1123" s="185"/>
      <c r="C1123" s="185"/>
      <c r="D1123" s="185"/>
      <c r="E1123" s="185"/>
      <c r="F1123" s="185"/>
      <c r="G1123" s="185"/>
      <c r="H1123" s="185"/>
      <c r="I1123" s="185"/>
      <c r="J1123" s="185"/>
      <c r="K1123" s="185"/>
      <c r="L1123" s="185"/>
      <c r="M1123" s="185"/>
      <c r="N1123" s="186"/>
      <c r="O1123" s="10"/>
    </row>
    <row r="1124" spans="1:15" x14ac:dyDescent="0.25">
      <c r="A1124" s="178"/>
      <c r="B1124" s="179"/>
      <c r="C1124" s="179"/>
      <c r="D1124" s="179"/>
      <c r="E1124" s="179"/>
      <c r="F1124" s="179"/>
      <c r="G1124" s="179"/>
      <c r="H1124" s="179"/>
      <c r="I1124" s="179"/>
      <c r="J1124" s="179"/>
      <c r="K1124" s="179"/>
      <c r="L1124" s="179"/>
      <c r="M1124" s="179"/>
      <c r="N1124" s="180"/>
      <c r="O1124" s="10">
        <f t="shared" si="47"/>
        <v>0</v>
      </c>
    </row>
    <row r="1125" spans="1:15" x14ac:dyDescent="0.25">
      <c r="A1125" s="174" t="s">
        <v>68</v>
      </c>
      <c r="B1125" s="174"/>
      <c r="C1125" s="174"/>
      <c r="D1125" s="174"/>
      <c r="E1125" s="174"/>
      <c r="F1125" s="174"/>
      <c r="G1125" s="174"/>
      <c r="H1125" s="174"/>
      <c r="I1125" s="174"/>
      <c r="J1125" s="174"/>
      <c r="K1125" s="174"/>
      <c r="L1125" s="174"/>
      <c r="M1125" s="174"/>
      <c r="N1125" s="174"/>
      <c r="O1125" s="10"/>
    </row>
    <row r="1126" spans="1:15" x14ac:dyDescent="0.25">
      <c r="A1126" s="178"/>
      <c r="B1126" s="179"/>
      <c r="C1126" s="179"/>
      <c r="D1126" s="179"/>
      <c r="E1126" s="179"/>
      <c r="F1126" s="179"/>
      <c r="G1126" s="179"/>
      <c r="H1126" s="179"/>
      <c r="I1126" s="179"/>
      <c r="J1126" s="179"/>
      <c r="K1126" s="179"/>
      <c r="L1126" s="179"/>
      <c r="M1126" s="179"/>
      <c r="N1126" s="180"/>
      <c r="O1126" s="10">
        <f t="shared" si="47"/>
        <v>0</v>
      </c>
    </row>
    <row r="1127" spans="1:15" x14ac:dyDescent="0.25">
      <c r="A1127" s="176" t="s">
        <v>60</v>
      </c>
      <c r="B1127" s="176"/>
      <c r="C1127" s="176"/>
      <c r="D1127" s="176"/>
      <c r="E1127" s="176"/>
      <c r="F1127" s="176"/>
      <c r="G1127" s="176"/>
      <c r="H1127" s="176"/>
      <c r="I1127" s="176"/>
      <c r="J1127" s="176"/>
      <c r="K1127" s="176"/>
      <c r="L1127" s="176"/>
      <c r="M1127" s="176" t="s">
        <v>61</v>
      </c>
      <c r="N1127" s="176"/>
      <c r="O1127" s="10"/>
    </row>
    <row r="1128" spans="1:15" x14ac:dyDescent="0.25">
      <c r="A1128" s="176" t="s">
        <v>62</v>
      </c>
      <c r="B1128" s="176"/>
      <c r="C1128" s="176"/>
      <c r="D1128" s="176"/>
      <c r="E1128" s="176"/>
      <c r="F1128" s="176"/>
      <c r="G1128" s="176"/>
      <c r="H1128" s="176"/>
      <c r="I1128" s="176"/>
      <c r="J1128" s="176"/>
      <c r="K1128" s="176"/>
      <c r="L1128" s="176"/>
      <c r="M1128" s="176" t="s">
        <v>61</v>
      </c>
      <c r="N1128" s="176"/>
      <c r="O1128" s="10"/>
    </row>
    <row r="1129" spans="1:15" x14ac:dyDescent="0.25">
      <c r="A1129" s="209" t="s">
        <v>91</v>
      </c>
      <c r="B1129" s="209"/>
      <c r="C1129" s="209"/>
      <c r="D1129" s="209"/>
      <c r="E1129" s="209"/>
      <c r="F1129" s="209"/>
      <c r="G1129" s="209"/>
      <c r="H1129" s="209"/>
      <c r="I1129" s="209"/>
      <c r="J1129" s="209"/>
      <c r="K1129" s="209"/>
      <c r="L1129" s="209"/>
      <c r="M1129" s="209"/>
      <c r="N1129" s="209"/>
      <c r="O1129" s="4"/>
    </row>
    <row r="1130" spans="1:15" x14ac:dyDescent="0.25">
      <c r="A1130" s="209" t="s">
        <v>89</v>
      </c>
      <c r="B1130" s="209"/>
      <c r="C1130" s="209"/>
      <c r="D1130" s="209"/>
      <c r="E1130" s="209"/>
      <c r="F1130" s="209"/>
      <c r="G1130" s="209"/>
      <c r="H1130" s="209"/>
      <c r="I1130" s="209"/>
      <c r="J1130" s="209"/>
      <c r="K1130" s="209"/>
      <c r="L1130" s="209"/>
      <c r="M1130" s="209"/>
      <c r="N1130" s="209"/>
      <c r="O1130" s="4"/>
    </row>
    <row r="1131" spans="1:15" x14ac:dyDescent="0.25">
      <c r="A1131" s="209" t="s">
        <v>44</v>
      </c>
      <c r="B1131" s="209"/>
      <c r="C1131" s="209"/>
      <c r="D1131" s="209"/>
      <c r="E1131" s="209"/>
      <c r="F1131" s="209"/>
      <c r="G1131" s="209"/>
      <c r="H1131" s="209"/>
      <c r="I1131" s="209"/>
      <c r="J1131" s="209"/>
      <c r="K1131" s="209"/>
      <c r="L1131" s="209"/>
      <c r="M1131" s="209"/>
      <c r="N1131" s="209"/>
      <c r="O1131" s="4"/>
    </row>
    <row r="1132" spans="1:15" ht="15.75" x14ac:dyDescent="0.25">
      <c r="A1132" s="210" t="s">
        <v>72</v>
      </c>
      <c r="B1132" s="210"/>
      <c r="C1132" s="210"/>
      <c r="D1132" s="210"/>
      <c r="E1132" s="210"/>
      <c r="F1132" s="210"/>
      <c r="G1132" s="210"/>
      <c r="H1132" s="210"/>
      <c r="I1132" s="210"/>
      <c r="J1132" s="210"/>
      <c r="K1132" s="210"/>
      <c r="L1132" s="210"/>
      <c r="M1132" s="210"/>
      <c r="N1132" s="210"/>
      <c r="O1132" s="4"/>
    </row>
    <row r="1133" spans="1:15" ht="15.75" x14ac:dyDescent="0.25">
      <c r="A1133" s="211" t="s">
        <v>125</v>
      </c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211"/>
      <c r="N1133" s="211"/>
      <c r="O1133" s="4"/>
    </row>
    <row r="1134" spans="1:15" ht="15.75" x14ac:dyDescent="0.25">
      <c r="A1134" s="5" t="s">
        <v>46</v>
      </c>
      <c r="B1134" s="208" t="s">
        <v>123</v>
      </c>
      <c r="C1134" s="208"/>
      <c r="D1134" s="208"/>
      <c r="E1134" s="208"/>
      <c r="F1134" s="208"/>
      <c r="G1134" s="208"/>
      <c r="H1134" s="208"/>
      <c r="I1134" s="208"/>
      <c r="J1134" s="208"/>
      <c r="K1134" s="208"/>
      <c r="L1134" s="208"/>
      <c r="M1134" s="208"/>
      <c r="N1134" s="208"/>
      <c r="O1134" s="4"/>
    </row>
    <row r="1135" spans="1:15" ht="15.75" x14ac:dyDescent="0.25">
      <c r="A1135" s="5" t="s">
        <v>47</v>
      </c>
      <c r="B1135" s="175" t="s">
        <v>117</v>
      </c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4" t="s">
        <v>74</v>
      </c>
      <c r="M1135" s="174"/>
      <c r="N1135" s="34">
        <v>8611.6699383799078</v>
      </c>
      <c r="O1135" s="4"/>
    </row>
    <row r="1136" spans="1:15" x14ac:dyDescent="0.25">
      <c r="A1136" s="6" t="s">
        <v>21</v>
      </c>
      <c r="B1136" s="7" t="s">
        <v>92</v>
      </c>
      <c r="C1136" s="6" t="s">
        <v>22</v>
      </c>
      <c r="D1136" s="7">
        <v>2020</v>
      </c>
      <c r="E1136" s="194" t="s">
        <v>20</v>
      </c>
      <c r="F1136" s="194"/>
      <c r="G1136" s="194"/>
      <c r="H1136" s="195" t="s">
        <v>124</v>
      </c>
      <c r="I1136" s="196"/>
      <c r="J1136" s="196"/>
      <c r="K1136" s="196"/>
      <c r="L1136" s="196"/>
      <c r="M1136" s="196"/>
      <c r="N1136" s="197"/>
      <c r="O1136" s="4"/>
    </row>
    <row r="1137" spans="1:15" x14ac:dyDescent="0.25">
      <c r="A1137" s="198" t="s">
        <v>48</v>
      </c>
      <c r="B1137" s="199"/>
      <c r="C1137" s="200"/>
      <c r="D1137" s="204" t="s">
        <v>49</v>
      </c>
      <c r="E1137" s="205"/>
      <c r="F1137" s="205"/>
      <c r="G1137" s="205"/>
      <c r="H1137" s="206"/>
      <c r="I1137" s="207" t="s">
        <v>50</v>
      </c>
      <c r="J1137" s="207"/>
      <c r="K1137" s="207"/>
      <c r="L1137" s="207"/>
      <c r="M1137" s="207"/>
      <c r="N1137" s="207"/>
      <c r="O1137" s="4"/>
    </row>
    <row r="1138" spans="1:15" ht="30" x14ac:dyDescent="0.25">
      <c r="A1138" s="201"/>
      <c r="B1138" s="202"/>
      <c r="C1138" s="203"/>
      <c r="D1138" s="8" t="s">
        <v>51</v>
      </c>
      <c r="E1138" s="8" t="s">
        <v>52</v>
      </c>
      <c r="F1138" s="8" t="s">
        <v>53</v>
      </c>
      <c r="G1138" s="8" t="s">
        <v>54</v>
      </c>
      <c r="H1138" s="8" t="s">
        <v>55</v>
      </c>
      <c r="I1138" s="33" t="s">
        <v>51</v>
      </c>
      <c r="J1138" s="33" t="s">
        <v>52</v>
      </c>
      <c r="K1138" s="33" t="s">
        <v>53</v>
      </c>
      <c r="L1138" s="33" t="s">
        <v>54</v>
      </c>
      <c r="M1138" s="201" t="s">
        <v>56</v>
      </c>
      <c r="N1138" s="203"/>
      <c r="O1138" s="4"/>
    </row>
    <row r="1139" spans="1:15" x14ac:dyDescent="0.25">
      <c r="A1139" s="181" t="s">
        <v>2</v>
      </c>
      <c r="B1139" s="182"/>
      <c r="C1139" s="183"/>
      <c r="D1139" s="9" t="s">
        <v>57</v>
      </c>
      <c r="E1139" s="9" t="s">
        <v>57</v>
      </c>
      <c r="F1139" s="9" t="s">
        <v>57</v>
      </c>
      <c r="G1139" s="9" t="s">
        <v>57</v>
      </c>
      <c r="H1139" s="9"/>
      <c r="I1139" s="15">
        <v>0</v>
      </c>
      <c r="J1139" s="15">
        <v>0</v>
      </c>
      <c r="K1139" s="15">
        <v>0</v>
      </c>
      <c r="L1139" s="15">
        <v>0</v>
      </c>
      <c r="M1139" s="190">
        <f>I1139+J1139+K1139+L1139</f>
        <v>0</v>
      </c>
      <c r="N1139" s="191"/>
      <c r="O1139" s="4"/>
    </row>
    <row r="1140" spans="1:15" x14ac:dyDescent="0.25">
      <c r="A1140" s="181" t="s">
        <v>3</v>
      </c>
      <c r="B1140" s="182"/>
      <c r="C1140" s="183"/>
      <c r="D1140" s="9" t="s">
        <v>57</v>
      </c>
      <c r="E1140" s="9" t="s">
        <v>57</v>
      </c>
      <c r="F1140" s="9" t="s">
        <v>57</v>
      </c>
      <c r="G1140" s="9" t="s">
        <v>57</v>
      </c>
      <c r="H1140" s="9"/>
      <c r="I1140" s="15">
        <v>0</v>
      </c>
      <c r="J1140" s="15">
        <v>0</v>
      </c>
      <c r="K1140" s="15">
        <v>0</v>
      </c>
      <c r="L1140" s="15">
        <v>0</v>
      </c>
      <c r="M1140" s="192">
        <f t="shared" ref="M1140:M1147" si="48">I1140+J1140+K1140+L1140</f>
        <v>0</v>
      </c>
      <c r="N1140" s="193"/>
      <c r="O1140" s="4"/>
    </row>
    <row r="1141" spans="1:15" x14ac:dyDescent="0.25">
      <c r="A1141" s="181" t="s">
        <v>4</v>
      </c>
      <c r="B1141" s="182"/>
      <c r="C1141" s="183"/>
      <c r="D1141" s="9" t="s">
        <v>57</v>
      </c>
      <c r="E1141" s="9" t="s">
        <v>57</v>
      </c>
      <c r="F1141" s="9" t="s">
        <v>57</v>
      </c>
      <c r="G1141" s="9" t="s">
        <v>57</v>
      </c>
      <c r="H1141" s="9"/>
      <c r="I1141" s="15">
        <v>0</v>
      </c>
      <c r="J1141" s="15">
        <v>0</v>
      </c>
      <c r="K1141" s="15">
        <v>0</v>
      </c>
      <c r="L1141" s="15">
        <v>0</v>
      </c>
      <c r="M1141" s="192">
        <f t="shared" si="48"/>
        <v>0</v>
      </c>
      <c r="N1141" s="193"/>
      <c r="O1141" s="4"/>
    </row>
    <row r="1142" spans="1:15" x14ac:dyDescent="0.25">
      <c r="A1142" s="181" t="s">
        <v>5</v>
      </c>
      <c r="B1142" s="182"/>
      <c r="C1142" s="183"/>
      <c r="D1142" s="9" t="s">
        <v>57</v>
      </c>
      <c r="E1142" s="9" t="s">
        <v>57</v>
      </c>
      <c r="F1142" s="9" t="s">
        <v>57</v>
      </c>
      <c r="G1142" s="9" t="s">
        <v>57</v>
      </c>
      <c r="H1142" s="9"/>
      <c r="I1142" s="15">
        <v>0</v>
      </c>
      <c r="J1142" s="15">
        <v>0</v>
      </c>
      <c r="K1142" s="15">
        <v>0</v>
      </c>
      <c r="L1142" s="15">
        <v>0</v>
      </c>
      <c r="M1142" s="192">
        <f t="shared" si="48"/>
        <v>0</v>
      </c>
      <c r="N1142" s="193"/>
      <c r="O1142" s="4"/>
    </row>
    <row r="1143" spans="1:15" x14ac:dyDescent="0.25">
      <c r="A1143" s="181" t="s">
        <v>6</v>
      </c>
      <c r="B1143" s="182"/>
      <c r="C1143" s="183"/>
      <c r="D1143" s="9" t="s">
        <v>57</v>
      </c>
      <c r="E1143" s="9" t="s">
        <v>57</v>
      </c>
      <c r="F1143" s="9" t="s">
        <v>57</v>
      </c>
      <c r="G1143" s="9" t="s">
        <v>57</v>
      </c>
      <c r="H1143" s="9"/>
      <c r="I1143" s="15">
        <v>0</v>
      </c>
      <c r="J1143" s="15">
        <v>0</v>
      </c>
      <c r="K1143" s="15">
        <v>0</v>
      </c>
      <c r="L1143" s="15">
        <v>0</v>
      </c>
      <c r="M1143" s="192">
        <f t="shared" si="48"/>
        <v>0</v>
      </c>
      <c r="N1143" s="193"/>
      <c r="O1143" s="4"/>
    </row>
    <row r="1144" spans="1:15" x14ac:dyDescent="0.25">
      <c r="A1144" s="181" t="s">
        <v>8</v>
      </c>
      <c r="B1144" s="182"/>
      <c r="C1144" s="183"/>
      <c r="D1144" s="9" t="s">
        <v>57</v>
      </c>
      <c r="E1144" s="9" t="s">
        <v>57</v>
      </c>
      <c r="F1144" s="9" t="s">
        <v>57</v>
      </c>
      <c r="G1144" s="9" t="s">
        <v>57</v>
      </c>
      <c r="H1144" s="9"/>
      <c r="I1144" s="15">
        <v>0</v>
      </c>
      <c r="J1144" s="15">
        <v>0</v>
      </c>
      <c r="K1144" s="15">
        <v>0</v>
      </c>
      <c r="L1144" s="15">
        <v>0</v>
      </c>
      <c r="M1144" s="192">
        <f t="shared" si="48"/>
        <v>0</v>
      </c>
      <c r="N1144" s="193"/>
      <c r="O1144" s="4"/>
    </row>
    <row r="1145" spans="1:15" x14ac:dyDescent="0.25">
      <c r="A1145" s="181" t="s">
        <v>38</v>
      </c>
      <c r="B1145" s="182"/>
      <c r="C1145" s="183"/>
      <c r="D1145" s="9" t="s">
        <v>57</v>
      </c>
      <c r="E1145" s="9" t="s">
        <v>57</v>
      </c>
      <c r="F1145" s="9" t="s">
        <v>57</v>
      </c>
      <c r="G1145" s="9" t="s">
        <v>57</v>
      </c>
      <c r="H1145" s="9"/>
      <c r="I1145" s="15">
        <v>0</v>
      </c>
      <c r="J1145" s="15">
        <v>0</v>
      </c>
      <c r="K1145" s="15">
        <v>0</v>
      </c>
      <c r="L1145" s="15">
        <v>0</v>
      </c>
      <c r="M1145" s="192">
        <f t="shared" si="48"/>
        <v>0</v>
      </c>
      <c r="N1145" s="193"/>
      <c r="O1145" s="4"/>
    </row>
    <row r="1146" spans="1:15" x14ac:dyDescent="0.25">
      <c r="A1146" s="181" t="s">
        <v>7</v>
      </c>
      <c r="B1146" s="182"/>
      <c r="C1146" s="183"/>
      <c r="D1146" s="9" t="s">
        <v>57</v>
      </c>
      <c r="E1146" s="9" t="s">
        <v>57</v>
      </c>
      <c r="F1146" s="9" t="s">
        <v>57</v>
      </c>
      <c r="G1146" s="9" t="s">
        <v>57</v>
      </c>
      <c r="H1146" s="9"/>
      <c r="I1146" s="15">
        <v>0</v>
      </c>
      <c r="J1146" s="15">
        <v>0</v>
      </c>
      <c r="K1146" s="15">
        <v>0</v>
      </c>
      <c r="L1146" s="15">
        <v>0</v>
      </c>
      <c r="M1146" s="192">
        <f t="shared" si="48"/>
        <v>0</v>
      </c>
      <c r="N1146" s="193"/>
      <c r="O1146" s="4"/>
    </row>
    <row r="1147" spans="1:15" x14ac:dyDescent="0.25">
      <c r="A1147" s="181" t="s">
        <v>90</v>
      </c>
      <c r="B1147" s="182"/>
      <c r="C1147" s="183"/>
      <c r="D1147" s="9" t="s">
        <v>57</v>
      </c>
      <c r="E1147" s="9" t="s">
        <v>57</v>
      </c>
      <c r="F1147" s="9" t="s">
        <v>57</v>
      </c>
      <c r="G1147" s="9" t="s">
        <v>57</v>
      </c>
      <c r="H1147" s="9"/>
      <c r="I1147" s="15">
        <v>0</v>
      </c>
      <c r="J1147" s="15">
        <v>0</v>
      </c>
      <c r="K1147" s="15">
        <v>0</v>
      </c>
      <c r="L1147" s="15">
        <v>0</v>
      </c>
      <c r="M1147" s="188">
        <f t="shared" si="48"/>
        <v>0</v>
      </c>
      <c r="N1147" s="189"/>
      <c r="O1147" s="4"/>
    </row>
    <row r="1148" spans="1:15" x14ac:dyDescent="0.25">
      <c r="O1148" s="4"/>
    </row>
    <row r="1149" spans="1:15" ht="15.75" x14ac:dyDescent="0.25">
      <c r="A1149" s="177" t="s">
        <v>58</v>
      </c>
      <c r="B1149" s="177"/>
      <c r="C1149" s="177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4"/>
    </row>
    <row r="1150" spans="1:15" x14ac:dyDescent="0.25">
      <c r="A1150" s="178"/>
      <c r="B1150" s="179"/>
      <c r="C1150" s="179"/>
      <c r="D1150" s="179"/>
      <c r="E1150" s="179"/>
      <c r="F1150" s="179"/>
      <c r="G1150" s="179"/>
      <c r="H1150" s="179"/>
      <c r="I1150" s="179"/>
      <c r="J1150" s="179"/>
      <c r="K1150" s="179"/>
      <c r="L1150" s="179"/>
      <c r="M1150" s="179"/>
      <c r="N1150" s="180"/>
      <c r="O1150" s="10">
        <f>A1150</f>
        <v>0</v>
      </c>
    </row>
    <row r="1151" spans="1:15" x14ac:dyDescent="0.25">
      <c r="A1151" s="174" t="s">
        <v>59</v>
      </c>
      <c r="B1151" s="174"/>
      <c r="C1151" s="174"/>
      <c r="D1151" s="174"/>
      <c r="E1151" s="174"/>
      <c r="F1151" s="174"/>
      <c r="G1151" s="174"/>
      <c r="H1151" s="174"/>
      <c r="I1151" s="174"/>
      <c r="J1151" s="174"/>
      <c r="K1151" s="174"/>
      <c r="L1151" s="174"/>
      <c r="M1151" s="174"/>
      <c r="N1151" s="174"/>
      <c r="O1151" s="10"/>
    </row>
    <row r="1152" spans="1:15" x14ac:dyDescent="0.25">
      <c r="A1152" s="178"/>
      <c r="B1152" s="179"/>
      <c r="C1152" s="179"/>
      <c r="D1152" s="179"/>
      <c r="E1152" s="179"/>
      <c r="F1152" s="179"/>
      <c r="G1152" s="179"/>
      <c r="H1152" s="179"/>
      <c r="I1152" s="179"/>
      <c r="J1152" s="179"/>
      <c r="K1152" s="179"/>
      <c r="L1152" s="179"/>
      <c r="M1152" s="179"/>
      <c r="N1152" s="180"/>
      <c r="O1152" s="10">
        <f t="shared" ref="O1152:O1173" si="49">A1152</f>
        <v>0</v>
      </c>
    </row>
    <row r="1153" spans="1:15" x14ac:dyDescent="0.25">
      <c r="A1153" s="176" t="s">
        <v>60</v>
      </c>
      <c r="B1153" s="176"/>
      <c r="C1153" s="176"/>
      <c r="D1153" s="176"/>
      <c r="E1153" s="176"/>
      <c r="F1153" s="176"/>
      <c r="G1153" s="176"/>
      <c r="H1153" s="176"/>
      <c r="I1153" s="176"/>
      <c r="J1153" s="176"/>
      <c r="K1153" s="176"/>
      <c r="L1153" s="176"/>
      <c r="M1153" s="176" t="s">
        <v>61</v>
      </c>
      <c r="N1153" s="176"/>
      <c r="O1153" s="10"/>
    </row>
    <row r="1154" spans="1:15" x14ac:dyDescent="0.25">
      <c r="A1154" s="176" t="s">
        <v>62</v>
      </c>
      <c r="B1154" s="176"/>
      <c r="C1154" s="176"/>
      <c r="D1154" s="176"/>
      <c r="E1154" s="176"/>
      <c r="F1154" s="176"/>
      <c r="G1154" s="176"/>
      <c r="H1154" s="176"/>
      <c r="I1154" s="176"/>
      <c r="J1154" s="176"/>
      <c r="K1154" s="176"/>
      <c r="L1154" s="176"/>
      <c r="M1154" s="176" t="s">
        <v>61</v>
      </c>
      <c r="N1154" s="176"/>
      <c r="O1154" s="10"/>
    </row>
    <row r="1155" spans="1:15" x14ac:dyDescent="0.25">
      <c r="O1155" s="10"/>
    </row>
    <row r="1156" spans="1:15" ht="15.75" x14ac:dyDescent="0.25">
      <c r="A1156" s="184" t="s">
        <v>63</v>
      </c>
      <c r="B1156" s="185"/>
      <c r="C1156" s="185"/>
      <c r="D1156" s="185"/>
      <c r="E1156" s="185"/>
      <c r="F1156" s="185"/>
      <c r="G1156" s="185"/>
      <c r="H1156" s="185"/>
      <c r="I1156" s="185"/>
      <c r="J1156" s="185"/>
      <c r="K1156" s="185"/>
      <c r="L1156" s="185"/>
      <c r="M1156" s="185"/>
      <c r="N1156" s="186"/>
      <c r="O1156" s="10"/>
    </row>
    <row r="1157" spans="1:15" x14ac:dyDescent="0.25">
      <c r="A1157" s="178"/>
      <c r="B1157" s="179"/>
      <c r="C1157" s="179"/>
      <c r="D1157" s="179"/>
      <c r="E1157" s="179"/>
      <c r="F1157" s="179"/>
      <c r="G1157" s="179"/>
      <c r="H1157" s="179"/>
      <c r="I1157" s="179"/>
      <c r="J1157" s="179"/>
      <c r="K1157" s="179"/>
      <c r="L1157" s="179"/>
      <c r="M1157" s="179"/>
      <c r="N1157" s="179"/>
      <c r="O1157" s="10">
        <f t="shared" si="49"/>
        <v>0</v>
      </c>
    </row>
    <row r="1158" spans="1:15" x14ac:dyDescent="0.25">
      <c r="A1158" s="174" t="s">
        <v>64</v>
      </c>
      <c r="B1158" s="174"/>
      <c r="C1158" s="174"/>
      <c r="D1158" s="174"/>
      <c r="E1158" s="174"/>
      <c r="F1158" s="174"/>
      <c r="G1158" s="174"/>
      <c r="H1158" s="174"/>
      <c r="I1158" s="174"/>
      <c r="J1158" s="174"/>
      <c r="K1158" s="174"/>
      <c r="L1158" s="174"/>
      <c r="M1158" s="174"/>
      <c r="N1158" s="174"/>
      <c r="O1158" s="10"/>
    </row>
    <row r="1159" spans="1:15" x14ac:dyDescent="0.25">
      <c r="A1159" s="178"/>
      <c r="B1159" s="179"/>
      <c r="C1159" s="179"/>
      <c r="D1159" s="179"/>
      <c r="E1159" s="179"/>
      <c r="F1159" s="179"/>
      <c r="G1159" s="179"/>
      <c r="H1159" s="179"/>
      <c r="I1159" s="179"/>
      <c r="J1159" s="179"/>
      <c r="K1159" s="179"/>
      <c r="L1159" s="179"/>
      <c r="M1159" s="179"/>
      <c r="N1159" s="180"/>
      <c r="O1159" s="10">
        <f t="shared" si="49"/>
        <v>0</v>
      </c>
    </row>
    <row r="1160" spans="1:15" x14ac:dyDescent="0.25">
      <c r="A1160" s="176" t="s">
        <v>60</v>
      </c>
      <c r="B1160" s="176"/>
      <c r="C1160" s="176"/>
      <c r="D1160" s="176"/>
      <c r="E1160" s="176"/>
      <c r="F1160" s="176"/>
      <c r="G1160" s="176"/>
      <c r="H1160" s="176"/>
      <c r="I1160" s="176"/>
      <c r="J1160" s="176"/>
      <c r="K1160" s="176"/>
      <c r="L1160" s="176"/>
      <c r="M1160" s="176" t="s">
        <v>61</v>
      </c>
      <c r="N1160" s="176"/>
      <c r="O1160" s="10"/>
    </row>
    <row r="1161" spans="1:15" x14ac:dyDescent="0.25">
      <c r="A1161" s="176" t="s">
        <v>62</v>
      </c>
      <c r="B1161" s="176"/>
      <c r="C1161" s="176"/>
      <c r="D1161" s="176"/>
      <c r="E1161" s="176"/>
      <c r="F1161" s="176"/>
      <c r="G1161" s="176"/>
      <c r="H1161" s="176"/>
      <c r="I1161" s="176"/>
      <c r="J1161" s="176"/>
      <c r="K1161" s="176"/>
      <c r="L1161" s="176"/>
      <c r="M1161" s="176" t="s">
        <v>61</v>
      </c>
      <c r="N1161" s="176"/>
      <c r="O1161" s="10"/>
    </row>
    <row r="1162" spans="1:15" x14ac:dyDescent="0.25">
      <c r="O1162" s="10"/>
    </row>
    <row r="1163" spans="1:15" ht="15.75" x14ac:dyDescent="0.25">
      <c r="A1163" s="177" t="s">
        <v>65</v>
      </c>
      <c r="B1163" s="177"/>
      <c r="C1163" s="177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0"/>
    </row>
    <row r="1164" spans="1:15" x14ac:dyDescent="0.25">
      <c r="A1164" s="178"/>
      <c r="B1164" s="179"/>
      <c r="C1164" s="179"/>
      <c r="D1164" s="179"/>
      <c r="E1164" s="179"/>
      <c r="F1164" s="179"/>
      <c r="G1164" s="179"/>
      <c r="H1164" s="179"/>
      <c r="I1164" s="179"/>
      <c r="J1164" s="179"/>
      <c r="K1164" s="179"/>
      <c r="L1164" s="179"/>
      <c r="M1164" s="179"/>
      <c r="N1164" s="180"/>
      <c r="O1164" s="10">
        <f t="shared" si="49"/>
        <v>0</v>
      </c>
    </row>
    <row r="1165" spans="1:15" x14ac:dyDescent="0.25">
      <c r="A1165" s="174" t="s">
        <v>66</v>
      </c>
      <c r="B1165" s="174"/>
      <c r="C1165" s="174"/>
      <c r="D1165" s="174"/>
      <c r="E1165" s="174"/>
      <c r="F1165" s="174"/>
      <c r="G1165" s="174"/>
      <c r="H1165" s="174"/>
      <c r="I1165" s="174"/>
      <c r="J1165" s="174"/>
      <c r="K1165" s="174"/>
      <c r="L1165" s="174"/>
      <c r="M1165" s="174"/>
      <c r="N1165" s="174"/>
      <c r="O1165" s="10"/>
    </row>
    <row r="1166" spans="1:15" x14ac:dyDescent="0.25">
      <c r="A1166" s="178"/>
      <c r="B1166" s="179"/>
      <c r="C1166" s="179"/>
      <c r="D1166" s="179"/>
      <c r="E1166" s="179"/>
      <c r="F1166" s="179"/>
      <c r="G1166" s="179"/>
      <c r="H1166" s="179"/>
      <c r="I1166" s="179"/>
      <c r="J1166" s="179"/>
      <c r="K1166" s="179"/>
      <c r="L1166" s="179"/>
      <c r="M1166" s="179"/>
      <c r="N1166" s="180"/>
      <c r="O1166" s="10">
        <f t="shared" si="49"/>
        <v>0</v>
      </c>
    </row>
    <row r="1167" spans="1:15" x14ac:dyDescent="0.25">
      <c r="A1167" s="187" t="s">
        <v>60</v>
      </c>
      <c r="B1167" s="187"/>
      <c r="C1167" s="187"/>
      <c r="D1167" s="187"/>
      <c r="E1167" s="187"/>
      <c r="F1167" s="187"/>
      <c r="G1167" s="187"/>
      <c r="H1167" s="187"/>
      <c r="I1167" s="187"/>
      <c r="J1167" s="187"/>
      <c r="K1167" s="187"/>
      <c r="L1167" s="187"/>
      <c r="M1167" s="176" t="s">
        <v>61</v>
      </c>
      <c r="N1167" s="176"/>
      <c r="O1167" s="10"/>
    </row>
    <row r="1168" spans="1:15" x14ac:dyDescent="0.25">
      <c r="A1168" s="187" t="s">
        <v>62</v>
      </c>
      <c r="B1168" s="187"/>
      <c r="C1168" s="187"/>
      <c r="D1168" s="187"/>
      <c r="E1168" s="187"/>
      <c r="F1168" s="187"/>
      <c r="G1168" s="187"/>
      <c r="H1168" s="187"/>
      <c r="I1168" s="187"/>
      <c r="J1168" s="187"/>
      <c r="K1168" s="187"/>
      <c r="L1168" s="187"/>
      <c r="M1168" s="176" t="s">
        <v>61</v>
      </c>
      <c r="N1168" s="176"/>
      <c r="O1168" s="10"/>
    </row>
    <row r="1169" spans="1:15" x14ac:dyDescent="0.25">
      <c r="O1169" s="10"/>
    </row>
    <row r="1170" spans="1:15" ht="15.75" x14ac:dyDescent="0.25">
      <c r="A1170" s="184" t="s">
        <v>67</v>
      </c>
      <c r="B1170" s="185"/>
      <c r="C1170" s="185"/>
      <c r="D1170" s="185"/>
      <c r="E1170" s="185"/>
      <c r="F1170" s="185"/>
      <c r="G1170" s="185"/>
      <c r="H1170" s="185"/>
      <c r="I1170" s="185"/>
      <c r="J1170" s="185"/>
      <c r="K1170" s="185"/>
      <c r="L1170" s="185"/>
      <c r="M1170" s="185"/>
      <c r="N1170" s="186"/>
      <c r="O1170" s="10"/>
    </row>
    <row r="1171" spans="1:15" x14ac:dyDescent="0.25">
      <c r="A1171" s="178"/>
      <c r="B1171" s="179"/>
      <c r="C1171" s="179"/>
      <c r="D1171" s="179"/>
      <c r="E1171" s="179"/>
      <c r="F1171" s="179"/>
      <c r="G1171" s="179"/>
      <c r="H1171" s="179"/>
      <c r="I1171" s="179"/>
      <c r="J1171" s="179"/>
      <c r="K1171" s="179"/>
      <c r="L1171" s="179"/>
      <c r="M1171" s="179"/>
      <c r="N1171" s="180"/>
      <c r="O1171" s="10">
        <f t="shared" si="49"/>
        <v>0</v>
      </c>
    </row>
    <row r="1172" spans="1:15" x14ac:dyDescent="0.25">
      <c r="A1172" s="174" t="s">
        <v>68</v>
      </c>
      <c r="B1172" s="174"/>
      <c r="C1172" s="174"/>
      <c r="D1172" s="174"/>
      <c r="E1172" s="174"/>
      <c r="F1172" s="174"/>
      <c r="G1172" s="174"/>
      <c r="H1172" s="174"/>
      <c r="I1172" s="174"/>
      <c r="J1172" s="174"/>
      <c r="K1172" s="174"/>
      <c r="L1172" s="174"/>
      <c r="M1172" s="174"/>
      <c r="N1172" s="174"/>
      <c r="O1172" s="10"/>
    </row>
    <row r="1173" spans="1:15" x14ac:dyDescent="0.25">
      <c r="A1173" s="178"/>
      <c r="B1173" s="179"/>
      <c r="C1173" s="179"/>
      <c r="D1173" s="179"/>
      <c r="E1173" s="179"/>
      <c r="F1173" s="179"/>
      <c r="G1173" s="179"/>
      <c r="H1173" s="179"/>
      <c r="I1173" s="179"/>
      <c r="J1173" s="179"/>
      <c r="K1173" s="179"/>
      <c r="L1173" s="179"/>
      <c r="M1173" s="179"/>
      <c r="N1173" s="180"/>
      <c r="O1173" s="10">
        <f t="shared" si="49"/>
        <v>0</v>
      </c>
    </row>
    <row r="1174" spans="1:15" x14ac:dyDescent="0.25">
      <c r="A1174" s="176" t="s">
        <v>60</v>
      </c>
      <c r="B1174" s="176"/>
      <c r="C1174" s="176"/>
      <c r="D1174" s="176"/>
      <c r="E1174" s="176"/>
      <c r="F1174" s="176"/>
      <c r="G1174" s="176"/>
      <c r="H1174" s="176"/>
      <c r="I1174" s="176"/>
      <c r="J1174" s="176"/>
      <c r="K1174" s="176"/>
      <c r="L1174" s="176"/>
      <c r="M1174" s="176" t="s">
        <v>61</v>
      </c>
      <c r="N1174" s="176"/>
      <c r="O1174" s="10"/>
    </row>
    <row r="1175" spans="1:15" x14ac:dyDescent="0.25">
      <c r="A1175" s="176" t="s">
        <v>62</v>
      </c>
      <c r="B1175" s="176"/>
      <c r="C1175" s="176"/>
      <c r="D1175" s="176"/>
      <c r="E1175" s="176"/>
      <c r="F1175" s="176"/>
      <c r="G1175" s="176"/>
      <c r="H1175" s="176"/>
      <c r="I1175" s="176"/>
      <c r="J1175" s="176"/>
      <c r="K1175" s="176"/>
      <c r="L1175" s="176"/>
      <c r="M1175" s="176" t="s">
        <v>61</v>
      </c>
      <c r="N1175" s="176"/>
      <c r="O1175" s="10"/>
    </row>
    <row r="1176" spans="1:15" x14ac:dyDescent="0.25">
      <c r="A1176" s="209" t="s">
        <v>91</v>
      </c>
      <c r="B1176" s="209"/>
      <c r="C1176" s="209"/>
      <c r="D1176" s="209"/>
      <c r="E1176" s="209"/>
      <c r="F1176" s="209"/>
      <c r="G1176" s="209"/>
      <c r="H1176" s="209"/>
      <c r="I1176" s="209"/>
      <c r="J1176" s="209"/>
      <c r="K1176" s="209"/>
      <c r="L1176" s="209"/>
      <c r="M1176" s="209"/>
      <c r="N1176" s="209"/>
      <c r="O1176" s="4"/>
    </row>
    <row r="1177" spans="1:15" x14ac:dyDescent="0.25">
      <c r="A1177" s="209" t="s">
        <v>89</v>
      </c>
      <c r="B1177" s="209"/>
      <c r="C1177" s="209"/>
      <c r="D1177" s="209"/>
      <c r="E1177" s="209"/>
      <c r="F1177" s="209"/>
      <c r="G1177" s="209"/>
      <c r="H1177" s="209"/>
      <c r="I1177" s="209"/>
      <c r="J1177" s="209"/>
      <c r="K1177" s="209"/>
      <c r="L1177" s="209"/>
      <c r="M1177" s="209"/>
      <c r="N1177" s="209"/>
      <c r="O1177" s="4"/>
    </row>
    <row r="1178" spans="1:15" x14ac:dyDescent="0.25">
      <c r="A1178" s="209" t="s">
        <v>44</v>
      </c>
      <c r="B1178" s="209"/>
      <c r="C1178" s="209"/>
      <c r="D1178" s="209"/>
      <c r="E1178" s="209"/>
      <c r="F1178" s="209"/>
      <c r="G1178" s="209"/>
      <c r="H1178" s="209"/>
      <c r="I1178" s="209"/>
      <c r="J1178" s="209"/>
      <c r="K1178" s="209"/>
      <c r="L1178" s="209"/>
      <c r="M1178" s="209"/>
      <c r="N1178" s="209"/>
      <c r="O1178" s="4"/>
    </row>
    <row r="1179" spans="1:15" ht="15.75" x14ac:dyDescent="0.25">
      <c r="A1179" s="210" t="s">
        <v>72</v>
      </c>
      <c r="B1179" s="210"/>
      <c r="C1179" s="210"/>
      <c r="D1179" s="210"/>
      <c r="E1179" s="210"/>
      <c r="F1179" s="210"/>
      <c r="G1179" s="210"/>
      <c r="H1179" s="210"/>
      <c r="I1179" s="210"/>
      <c r="J1179" s="210"/>
      <c r="K1179" s="210"/>
      <c r="L1179" s="210"/>
      <c r="M1179" s="210"/>
      <c r="N1179" s="210"/>
      <c r="O1179" s="4"/>
    </row>
    <row r="1180" spans="1:15" ht="15.75" x14ac:dyDescent="0.25">
      <c r="A1180" s="211" t="s">
        <v>125</v>
      </c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211"/>
      <c r="N1180" s="211"/>
      <c r="O1180" s="4"/>
    </row>
    <row r="1181" spans="1:15" ht="15.75" x14ac:dyDescent="0.25">
      <c r="A1181" s="5" t="s">
        <v>46</v>
      </c>
      <c r="B1181" s="208" t="s">
        <v>123</v>
      </c>
      <c r="C1181" s="208"/>
      <c r="D1181" s="208"/>
      <c r="E1181" s="208"/>
      <c r="F1181" s="208"/>
      <c r="G1181" s="208"/>
      <c r="H1181" s="208"/>
      <c r="I1181" s="208"/>
      <c r="J1181" s="208"/>
      <c r="K1181" s="208"/>
      <c r="L1181" s="208"/>
      <c r="M1181" s="208"/>
      <c r="N1181" s="208"/>
      <c r="O1181" s="4"/>
    </row>
    <row r="1182" spans="1:15" ht="15.75" x14ac:dyDescent="0.25">
      <c r="A1182" s="5" t="s">
        <v>47</v>
      </c>
      <c r="B1182" s="175" t="s">
        <v>118</v>
      </c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4" t="s">
        <v>74</v>
      </c>
      <c r="M1182" s="174"/>
      <c r="N1182" s="34">
        <v>9692.555965920681</v>
      </c>
      <c r="O1182" s="4"/>
    </row>
    <row r="1183" spans="1:15" x14ac:dyDescent="0.25">
      <c r="A1183" s="6" t="s">
        <v>21</v>
      </c>
      <c r="B1183" s="7" t="s">
        <v>92</v>
      </c>
      <c r="C1183" s="6" t="s">
        <v>22</v>
      </c>
      <c r="D1183" s="7">
        <v>2020</v>
      </c>
      <c r="E1183" s="194" t="s">
        <v>20</v>
      </c>
      <c r="F1183" s="194"/>
      <c r="G1183" s="194"/>
      <c r="H1183" s="195" t="s">
        <v>124</v>
      </c>
      <c r="I1183" s="196"/>
      <c r="J1183" s="196"/>
      <c r="K1183" s="196"/>
      <c r="L1183" s="196"/>
      <c r="M1183" s="196"/>
      <c r="N1183" s="197"/>
      <c r="O1183" s="4"/>
    </row>
    <row r="1184" spans="1:15" x14ac:dyDescent="0.25">
      <c r="A1184" s="198" t="s">
        <v>48</v>
      </c>
      <c r="B1184" s="199"/>
      <c r="C1184" s="200"/>
      <c r="D1184" s="204" t="s">
        <v>49</v>
      </c>
      <c r="E1184" s="205"/>
      <c r="F1184" s="205"/>
      <c r="G1184" s="205"/>
      <c r="H1184" s="206"/>
      <c r="I1184" s="207" t="s">
        <v>50</v>
      </c>
      <c r="J1184" s="207"/>
      <c r="K1184" s="207"/>
      <c r="L1184" s="207"/>
      <c r="M1184" s="207"/>
      <c r="N1184" s="207"/>
      <c r="O1184" s="4"/>
    </row>
    <row r="1185" spans="1:15" ht="30" x14ac:dyDescent="0.25">
      <c r="A1185" s="201"/>
      <c r="B1185" s="202"/>
      <c r="C1185" s="203"/>
      <c r="D1185" s="8" t="s">
        <v>51</v>
      </c>
      <c r="E1185" s="8" t="s">
        <v>52</v>
      </c>
      <c r="F1185" s="8" t="s">
        <v>53</v>
      </c>
      <c r="G1185" s="8" t="s">
        <v>54</v>
      </c>
      <c r="H1185" s="8" t="s">
        <v>55</v>
      </c>
      <c r="I1185" s="33" t="s">
        <v>51</v>
      </c>
      <c r="J1185" s="33" t="s">
        <v>52</v>
      </c>
      <c r="K1185" s="33" t="s">
        <v>53</v>
      </c>
      <c r="L1185" s="33" t="s">
        <v>54</v>
      </c>
      <c r="M1185" s="201" t="s">
        <v>56</v>
      </c>
      <c r="N1185" s="203"/>
      <c r="O1185" s="4"/>
    </row>
    <row r="1186" spans="1:15" x14ac:dyDescent="0.25">
      <c r="A1186" s="181" t="s">
        <v>2</v>
      </c>
      <c r="B1186" s="182"/>
      <c r="C1186" s="183"/>
      <c r="D1186" s="9" t="s">
        <v>57</v>
      </c>
      <c r="E1186" s="9" t="s">
        <v>57</v>
      </c>
      <c r="F1186" s="9" t="s">
        <v>57</v>
      </c>
      <c r="G1186" s="9" t="s">
        <v>57</v>
      </c>
      <c r="H1186" s="9"/>
      <c r="I1186" s="15">
        <v>0</v>
      </c>
      <c r="J1186" s="15">
        <v>0</v>
      </c>
      <c r="K1186" s="15">
        <v>0</v>
      </c>
      <c r="L1186" s="15">
        <v>0</v>
      </c>
      <c r="M1186" s="190">
        <f>I1186+J1186+K1186+L1186</f>
        <v>0</v>
      </c>
      <c r="N1186" s="191"/>
      <c r="O1186" s="4"/>
    </row>
    <row r="1187" spans="1:15" x14ac:dyDescent="0.25">
      <c r="A1187" s="181" t="s">
        <v>3</v>
      </c>
      <c r="B1187" s="182"/>
      <c r="C1187" s="183"/>
      <c r="D1187" s="9" t="s">
        <v>57</v>
      </c>
      <c r="E1187" s="9" t="s">
        <v>57</v>
      </c>
      <c r="F1187" s="9" t="s">
        <v>57</v>
      </c>
      <c r="G1187" s="9" t="s">
        <v>57</v>
      </c>
      <c r="H1187" s="9"/>
      <c r="I1187" s="15">
        <v>0</v>
      </c>
      <c r="J1187" s="15">
        <v>0</v>
      </c>
      <c r="K1187" s="15">
        <v>0</v>
      </c>
      <c r="L1187" s="15">
        <v>0</v>
      </c>
      <c r="M1187" s="192">
        <f t="shared" ref="M1187:M1194" si="50">I1187+J1187+K1187+L1187</f>
        <v>0</v>
      </c>
      <c r="N1187" s="193"/>
      <c r="O1187" s="4"/>
    </row>
    <row r="1188" spans="1:15" x14ac:dyDescent="0.25">
      <c r="A1188" s="181" t="s">
        <v>4</v>
      </c>
      <c r="B1188" s="182"/>
      <c r="C1188" s="183"/>
      <c r="D1188" s="9" t="s">
        <v>57</v>
      </c>
      <c r="E1188" s="9" t="s">
        <v>57</v>
      </c>
      <c r="F1188" s="9" t="s">
        <v>57</v>
      </c>
      <c r="G1188" s="9" t="s">
        <v>57</v>
      </c>
      <c r="H1188" s="9"/>
      <c r="I1188" s="15">
        <v>0</v>
      </c>
      <c r="J1188" s="15">
        <v>0</v>
      </c>
      <c r="K1188" s="15">
        <v>0</v>
      </c>
      <c r="L1188" s="15">
        <v>0</v>
      </c>
      <c r="M1188" s="192">
        <f t="shared" si="50"/>
        <v>0</v>
      </c>
      <c r="N1188" s="193"/>
      <c r="O1188" s="4"/>
    </row>
    <row r="1189" spans="1:15" x14ac:dyDescent="0.25">
      <c r="A1189" s="181" t="s">
        <v>5</v>
      </c>
      <c r="B1189" s="182"/>
      <c r="C1189" s="183"/>
      <c r="D1189" s="9" t="s">
        <v>57</v>
      </c>
      <c r="E1189" s="9" t="s">
        <v>57</v>
      </c>
      <c r="F1189" s="9" t="s">
        <v>57</v>
      </c>
      <c r="G1189" s="9" t="s">
        <v>57</v>
      </c>
      <c r="H1189" s="9"/>
      <c r="I1189" s="15">
        <v>0</v>
      </c>
      <c r="J1189" s="15">
        <v>0</v>
      </c>
      <c r="K1189" s="15">
        <v>0</v>
      </c>
      <c r="L1189" s="15">
        <v>0</v>
      </c>
      <c r="M1189" s="192">
        <f t="shared" si="50"/>
        <v>0</v>
      </c>
      <c r="N1189" s="193"/>
      <c r="O1189" s="4"/>
    </row>
    <row r="1190" spans="1:15" x14ac:dyDescent="0.25">
      <c r="A1190" s="181" t="s">
        <v>6</v>
      </c>
      <c r="B1190" s="182"/>
      <c r="C1190" s="183"/>
      <c r="D1190" s="9" t="s">
        <v>57</v>
      </c>
      <c r="E1190" s="9" t="s">
        <v>57</v>
      </c>
      <c r="F1190" s="9" t="s">
        <v>57</v>
      </c>
      <c r="G1190" s="9" t="s">
        <v>57</v>
      </c>
      <c r="H1190" s="9"/>
      <c r="I1190" s="15">
        <v>0</v>
      </c>
      <c r="J1190" s="15">
        <v>0</v>
      </c>
      <c r="K1190" s="15">
        <v>0</v>
      </c>
      <c r="L1190" s="15">
        <v>0</v>
      </c>
      <c r="M1190" s="192">
        <f t="shared" si="50"/>
        <v>0</v>
      </c>
      <c r="N1190" s="193"/>
      <c r="O1190" s="4"/>
    </row>
    <row r="1191" spans="1:15" x14ac:dyDescent="0.25">
      <c r="A1191" s="181" t="s">
        <v>8</v>
      </c>
      <c r="B1191" s="182"/>
      <c r="C1191" s="183"/>
      <c r="D1191" s="9" t="s">
        <v>57</v>
      </c>
      <c r="E1191" s="9" t="s">
        <v>57</v>
      </c>
      <c r="F1191" s="9" t="s">
        <v>57</v>
      </c>
      <c r="G1191" s="9" t="s">
        <v>57</v>
      </c>
      <c r="H1191" s="9"/>
      <c r="I1191" s="15">
        <v>0</v>
      </c>
      <c r="J1191" s="15">
        <v>0</v>
      </c>
      <c r="K1191" s="15">
        <v>0</v>
      </c>
      <c r="L1191" s="15">
        <v>0</v>
      </c>
      <c r="M1191" s="192">
        <f t="shared" si="50"/>
        <v>0</v>
      </c>
      <c r="N1191" s="193"/>
      <c r="O1191" s="4"/>
    </row>
    <row r="1192" spans="1:15" x14ac:dyDescent="0.25">
      <c r="A1192" s="181" t="s">
        <v>38</v>
      </c>
      <c r="B1192" s="182"/>
      <c r="C1192" s="183"/>
      <c r="D1192" s="9" t="s">
        <v>57</v>
      </c>
      <c r="E1192" s="9" t="s">
        <v>57</v>
      </c>
      <c r="F1192" s="9" t="s">
        <v>57</v>
      </c>
      <c r="G1192" s="9" t="s">
        <v>57</v>
      </c>
      <c r="H1192" s="9"/>
      <c r="I1192" s="15">
        <v>0</v>
      </c>
      <c r="J1192" s="15">
        <v>0</v>
      </c>
      <c r="K1192" s="15">
        <v>0</v>
      </c>
      <c r="L1192" s="15">
        <v>0</v>
      </c>
      <c r="M1192" s="192">
        <f t="shared" si="50"/>
        <v>0</v>
      </c>
      <c r="N1192" s="193"/>
      <c r="O1192" s="4"/>
    </row>
    <row r="1193" spans="1:15" x14ac:dyDescent="0.25">
      <c r="A1193" s="181" t="s">
        <v>7</v>
      </c>
      <c r="B1193" s="182"/>
      <c r="C1193" s="183"/>
      <c r="D1193" s="9" t="s">
        <v>57</v>
      </c>
      <c r="E1193" s="9" t="s">
        <v>57</v>
      </c>
      <c r="F1193" s="9" t="s">
        <v>57</v>
      </c>
      <c r="G1193" s="9" t="s">
        <v>57</v>
      </c>
      <c r="H1193" s="9"/>
      <c r="I1193" s="15">
        <v>0</v>
      </c>
      <c r="J1193" s="15">
        <v>0</v>
      </c>
      <c r="K1193" s="15">
        <v>0</v>
      </c>
      <c r="L1193" s="15">
        <v>0</v>
      </c>
      <c r="M1193" s="192">
        <f t="shared" si="50"/>
        <v>0</v>
      </c>
      <c r="N1193" s="193"/>
      <c r="O1193" s="4"/>
    </row>
    <row r="1194" spans="1:15" x14ac:dyDescent="0.25">
      <c r="A1194" s="181" t="s">
        <v>90</v>
      </c>
      <c r="B1194" s="182"/>
      <c r="C1194" s="183"/>
      <c r="D1194" s="9" t="s">
        <v>57</v>
      </c>
      <c r="E1194" s="9" t="s">
        <v>57</v>
      </c>
      <c r="F1194" s="9" t="s">
        <v>57</v>
      </c>
      <c r="G1194" s="9" t="s">
        <v>57</v>
      </c>
      <c r="H1194" s="9"/>
      <c r="I1194" s="15">
        <v>0</v>
      </c>
      <c r="J1194" s="15">
        <v>0</v>
      </c>
      <c r="K1194" s="15">
        <v>0</v>
      </c>
      <c r="L1194" s="15">
        <v>0</v>
      </c>
      <c r="M1194" s="188">
        <f t="shared" si="50"/>
        <v>0</v>
      </c>
      <c r="N1194" s="189"/>
      <c r="O1194" s="4"/>
    </row>
    <row r="1195" spans="1:15" x14ac:dyDescent="0.25">
      <c r="O1195" s="4"/>
    </row>
    <row r="1196" spans="1:15" ht="15.75" x14ac:dyDescent="0.25">
      <c r="A1196" s="177" t="s">
        <v>58</v>
      </c>
      <c r="B1196" s="177"/>
      <c r="C1196" s="177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4"/>
    </row>
    <row r="1197" spans="1:15" x14ac:dyDescent="0.25">
      <c r="A1197" s="178"/>
      <c r="B1197" s="179"/>
      <c r="C1197" s="179"/>
      <c r="D1197" s="179"/>
      <c r="E1197" s="179"/>
      <c r="F1197" s="179"/>
      <c r="G1197" s="179"/>
      <c r="H1197" s="179"/>
      <c r="I1197" s="179"/>
      <c r="J1197" s="179"/>
      <c r="K1197" s="179"/>
      <c r="L1197" s="179"/>
      <c r="M1197" s="179"/>
      <c r="N1197" s="180"/>
      <c r="O1197" s="10">
        <f>A1197</f>
        <v>0</v>
      </c>
    </row>
    <row r="1198" spans="1:15" x14ac:dyDescent="0.25">
      <c r="A1198" s="174" t="s">
        <v>59</v>
      </c>
      <c r="B1198" s="174"/>
      <c r="C1198" s="174"/>
      <c r="D1198" s="174"/>
      <c r="E1198" s="174"/>
      <c r="F1198" s="174"/>
      <c r="G1198" s="174"/>
      <c r="H1198" s="174"/>
      <c r="I1198" s="174"/>
      <c r="J1198" s="174"/>
      <c r="K1198" s="174"/>
      <c r="L1198" s="174"/>
      <c r="M1198" s="174"/>
      <c r="N1198" s="174"/>
      <c r="O1198" s="10"/>
    </row>
    <row r="1199" spans="1:15" x14ac:dyDescent="0.25">
      <c r="A1199" s="178"/>
      <c r="B1199" s="179"/>
      <c r="C1199" s="179"/>
      <c r="D1199" s="179"/>
      <c r="E1199" s="179"/>
      <c r="F1199" s="179"/>
      <c r="G1199" s="179"/>
      <c r="H1199" s="179"/>
      <c r="I1199" s="179"/>
      <c r="J1199" s="179"/>
      <c r="K1199" s="179"/>
      <c r="L1199" s="179"/>
      <c r="M1199" s="179"/>
      <c r="N1199" s="180"/>
      <c r="O1199" s="10">
        <f t="shared" ref="O1199:O1220" si="51">A1199</f>
        <v>0</v>
      </c>
    </row>
    <row r="1200" spans="1:15" x14ac:dyDescent="0.25">
      <c r="A1200" s="176" t="s">
        <v>60</v>
      </c>
      <c r="B1200" s="176"/>
      <c r="C1200" s="176"/>
      <c r="D1200" s="176"/>
      <c r="E1200" s="176"/>
      <c r="F1200" s="176"/>
      <c r="G1200" s="176"/>
      <c r="H1200" s="176"/>
      <c r="I1200" s="176"/>
      <c r="J1200" s="176"/>
      <c r="K1200" s="176"/>
      <c r="L1200" s="176"/>
      <c r="M1200" s="176" t="s">
        <v>61</v>
      </c>
      <c r="N1200" s="176"/>
      <c r="O1200" s="10"/>
    </row>
    <row r="1201" spans="1:15" x14ac:dyDescent="0.25">
      <c r="A1201" s="176" t="s">
        <v>62</v>
      </c>
      <c r="B1201" s="176"/>
      <c r="C1201" s="176"/>
      <c r="D1201" s="176"/>
      <c r="E1201" s="176"/>
      <c r="F1201" s="176"/>
      <c r="G1201" s="176"/>
      <c r="H1201" s="176"/>
      <c r="I1201" s="176"/>
      <c r="J1201" s="176"/>
      <c r="K1201" s="176"/>
      <c r="L1201" s="176"/>
      <c r="M1201" s="176" t="s">
        <v>61</v>
      </c>
      <c r="N1201" s="176"/>
      <c r="O1201" s="10"/>
    </row>
    <row r="1202" spans="1:15" x14ac:dyDescent="0.25">
      <c r="O1202" s="10"/>
    </row>
    <row r="1203" spans="1:15" ht="15.75" x14ac:dyDescent="0.25">
      <c r="A1203" s="184" t="s">
        <v>63</v>
      </c>
      <c r="B1203" s="185"/>
      <c r="C1203" s="185"/>
      <c r="D1203" s="185"/>
      <c r="E1203" s="185"/>
      <c r="F1203" s="185"/>
      <c r="G1203" s="185"/>
      <c r="H1203" s="185"/>
      <c r="I1203" s="185"/>
      <c r="J1203" s="185"/>
      <c r="K1203" s="185"/>
      <c r="L1203" s="185"/>
      <c r="M1203" s="185"/>
      <c r="N1203" s="186"/>
      <c r="O1203" s="10"/>
    </row>
    <row r="1204" spans="1:15" x14ac:dyDescent="0.25">
      <c r="A1204" s="178"/>
      <c r="B1204" s="179"/>
      <c r="C1204" s="179"/>
      <c r="D1204" s="179"/>
      <c r="E1204" s="179"/>
      <c r="F1204" s="179"/>
      <c r="G1204" s="179"/>
      <c r="H1204" s="179"/>
      <c r="I1204" s="179"/>
      <c r="J1204" s="179"/>
      <c r="K1204" s="179"/>
      <c r="L1204" s="179"/>
      <c r="M1204" s="179"/>
      <c r="N1204" s="179"/>
      <c r="O1204" s="10">
        <f t="shared" si="51"/>
        <v>0</v>
      </c>
    </row>
    <row r="1205" spans="1:15" x14ac:dyDescent="0.25">
      <c r="A1205" s="174" t="s">
        <v>64</v>
      </c>
      <c r="B1205" s="174"/>
      <c r="C1205" s="174"/>
      <c r="D1205" s="174"/>
      <c r="E1205" s="174"/>
      <c r="F1205" s="174"/>
      <c r="G1205" s="174"/>
      <c r="H1205" s="174"/>
      <c r="I1205" s="174"/>
      <c r="J1205" s="174"/>
      <c r="K1205" s="174"/>
      <c r="L1205" s="174"/>
      <c r="M1205" s="174"/>
      <c r="N1205" s="174"/>
      <c r="O1205" s="10"/>
    </row>
    <row r="1206" spans="1:15" x14ac:dyDescent="0.25">
      <c r="A1206" s="178"/>
      <c r="B1206" s="179"/>
      <c r="C1206" s="179"/>
      <c r="D1206" s="179"/>
      <c r="E1206" s="179"/>
      <c r="F1206" s="179"/>
      <c r="G1206" s="179"/>
      <c r="H1206" s="179"/>
      <c r="I1206" s="179"/>
      <c r="J1206" s="179"/>
      <c r="K1206" s="179"/>
      <c r="L1206" s="179"/>
      <c r="M1206" s="179"/>
      <c r="N1206" s="180"/>
      <c r="O1206" s="10">
        <f t="shared" si="51"/>
        <v>0</v>
      </c>
    </row>
    <row r="1207" spans="1:15" x14ac:dyDescent="0.25">
      <c r="A1207" s="176" t="s">
        <v>60</v>
      </c>
      <c r="B1207" s="176"/>
      <c r="C1207" s="176"/>
      <c r="D1207" s="176"/>
      <c r="E1207" s="176"/>
      <c r="F1207" s="176"/>
      <c r="G1207" s="176"/>
      <c r="H1207" s="176"/>
      <c r="I1207" s="176"/>
      <c r="J1207" s="176"/>
      <c r="K1207" s="176"/>
      <c r="L1207" s="176"/>
      <c r="M1207" s="176" t="s">
        <v>61</v>
      </c>
      <c r="N1207" s="176"/>
      <c r="O1207" s="10"/>
    </row>
    <row r="1208" spans="1:15" x14ac:dyDescent="0.25">
      <c r="A1208" s="176" t="s">
        <v>62</v>
      </c>
      <c r="B1208" s="176"/>
      <c r="C1208" s="176"/>
      <c r="D1208" s="176"/>
      <c r="E1208" s="176"/>
      <c r="F1208" s="176"/>
      <c r="G1208" s="176"/>
      <c r="H1208" s="176"/>
      <c r="I1208" s="176"/>
      <c r="J1208" s="176"/>
      <c r="K1208" s="176"/>
      <c r="L1208" s="176"/>
      <c r="M1208" s="176" t="s">
        <v>61</v>
      </c>
      <c r="N1208" s="176"/>
      <c r="O1208" s="10"/>
    </row>
    <row r="1209" spans="1:15" x14ac:dyDescent="0.25">
      <c r="O1209" s="10"/>
    </row>
    <row r="1210" spans="1:15" ht="15.75" x14ac:dyDescent="0.25">
      <c r="A1210" s="177" t="s">
        <v>65</v>
      </c>
      <c r="B1210" s="177"/>
      <c r="C1210" s="177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0"/>
    </row>
    <row r="1211" spans="1:15" x14ac:dyDescent="0.25">
      <c r="A1211" s="178"/>
      <c r="B1211" s="179"/>
      <c r="C1211" s="179"/>
      <c r="D1211" s="179"/>
      <c r="E1211" s="179"/>
      <c r="F1211" s="179"/>
      <c r="G1211" s="179"/>
      <c r="H1211" s="179"/>
      <c r="I1211" s="179"/>
      <c r="J1211" s="179"/>
      <c r="K1211" s="179"/>
      <c r="L1211" s="179"/>
      <c r="M1211" s="179"/>
      <c r="N1211" s="180"/>
      <c r="O1211" s="10">
        <f t="shared" si="51"/>
        <v>0</v>
      </c>
    </row>
    <row r="1212" spans="1:15" x14ac:dyDescent="0.25">
      <c r="A1212" s="174" t="s">
        <v>66</v>
      </c>
      <c r="B1212" s="174"/>
      <c r="C1212" s="174"/>
      <c r="D1212" s="174"/>
      <c r="E1212" s="174"/>
      <c r="F1212" s="174"/>
      <c r="G1212" s="174"/>
      <c r="H1212" s="174"/>
      <c r="I1212" s="174"/>
      <c r="J1212" s="174"/>
      <c r="K1212" s="174"/>
      <c r="L1212" s="174"/>
      <c r="M1212" s="174"/>
      <c r="N1212" s="174"/>
      <c r="O1212" s="10"/>
    </row>
    <row r="1213" spans="1:15" x14ac:dyDescent="0.25">
      <c r="A1213" s="178"/>
      <c r="B1213" s="179"/>
      <c r="C1213" s="179"/>
      <c r="D1213" s="179"/>
      <c r="E1213" s="179"/>
      <c r="F1213" s="179"/>
      <c r="G1213" s="179"/>
      <c r="H1213" s="179"/>
      <c r="I1213" s="179"/>
      <c r="J1213" s="179"/>
      <c r="K1213" s="179"/>
      <c r="L1213" s="179"/>
      <c r="M1213" s="179"/>
      <c r="N1213" s="180"/>
      <c r="O1213" s="10">
        <f t="shared" si="51"/>
        <v>0</v>
      </c>
    </row>
    <row r="1214" spans="1:15" x14ac:dyDescent="0.25">
      <c r="A1214" s="187" t="s">
        <v>60</v>
      </c>
      <c r="B1214" s="187"/>
      <c r="C1214" s="187"/>
      <c r="D1214" s="187"/>
      <c r="E1214" s="187"/>
      <c r="F1214" s="187"/>
      <c r="G1214" s="187"/>
      <c r="H1214" s="187"/>
      <c r="I1214" s="187"/>
      <c r="J1214" s="187"/>
      <c r="K1214" s="187"/>
      <c r="L1214" s="187"/>
      <c r="M1214" s="176" t="s">
        <v>61</v>
      </c>
      <c r="N1214" s="176"/>
      <c r="O1214" s="10"/>
    </row>
    <row r="1215" spans="1:15" x14ac:dyDescent="0.25">
      <c r="A1215" s="187" t="s">
        <v>62</v>
      </c>
      <c r="B1215" s="187"/>
      <c r="C1215" s="187"/>
      <c r="D1215" s="187"/>
      <c r="E1215" s="187"/>
      <c r="F1215" s="187"/>
      <c r="G1215" s="187"/>
      <c r="H1215" s="187"/>
      <c r="I1215" s="187"/>
      <c r="J1215" s="187"/>
      <c r="K1215" s="187"/>
      <c r="L1215" s="187"/>
      <c r="M1215" s="176" t="s">
        <v>61</v>
      </c>
      <c r="N1215" s="176"/>
      <c r="O1215" s="10"/>
    </row>
    <row r="1216" spans="1:15" x14ac:dyDescent="0.25">
      <c r="O1216" s="10"/>
    </row>
    <row r="1217" spans="1:15" ht="15.75" x14ac:dyDescent="0.25">
      <c r="A1217" s="184" t="s">
        <v>67</v>
      </c>
      <c r="B1217" s="185"/>
      <c r="C1217" s="185"/>
      <c r="D1217" s="185"/>
      <c r="E1217" s="185"/>
      <c r="F1217" s="185"/>
      <c r="G1217" s="185"/>
      <c r="H1217" s="185"/>
      <c r="I1217" s="185"/>
      <c r="J1217" s="185"/>
      <c r="K1217" s="185"/>
      <c r="L1217" s="185"/>
      <c r="M1217" s="185"/>
      <c r="N1217" s="186"/>
      <c r="O1217" s="10"/>
    </row>
    <row r="1218" spans="1:15" x14ac:dyDescent="0.25">
      <c r="A1218" s="178"/>
      <c r="B1218" s="179"/>
      <c r="C1218" s="179"/>
      <c r="D1218" s="179"/>
      <c r="E1218" s="179"/>
      <c r="F1218" s="179"/>
      <c r="G1218" s="179"/>
      <c r="H1218" s="179"/>
      <c r="I1218" s="179"/>
      <c r="J1218" s="179"/>
      <c r="K1218" s="179"/>
      <c r="L1218" s="179"/>
      <c r="M1218" s="179"/>
      <c r="N1218" s="180"/>
      <c r="O1218" s="10">
        <f t="shared" si="51"/>
        <v>0</v>
      </c>
    </row>
    <row r="1219" spans="1:15" x14ac:dyDescent="0.25">
      <c r="A1219" s="174" t="s">
        <v>68</v>
      </c>
      <c r="B1219" s="174"/>
      <c r="C1219" s="174"/>
      <c r="D1219" s="174"/>
      <c r="E1219" s="174"/>
      <c r="F1219" s="174"/>
      <c r="G1219" s="174"/>
      <c r="H1219" s="174"/>
      <c r="I1219" s="174"/>
      <c r="J1219" s="174"/>
      <c r="K1219" s="174"/>
      <c r="L1219" s="174"/>
      <c r="M1219" s="174"/>
      <c r="N1219" s="174"/>
      <c r="O1219" s="10"/>
    </row>
    <row r="1220" spans="1:15" x14ac:dyDescent="0.25">
      <c r="A1220" s="178"/>
      <c r="B1220" s="179"/>
      <c r="C1220" s="179"/>
      <c r="D1220" s="179"/>
      <c r="E1220" s="179"/>
      <c r="F1220" s="179"/>
      <c r="G1220" s="179"/>
      <c r="H1220" s="179"/>
      <c r="I1220" s="179"/>
      <c r="J1220" s="179"/>
      <c r="K1220" s="179"/>
      <c r="L1220" s="179"/>
      <c r="M1220" s="179"/>
      <c r="N1220" s="180"/>
      <c r="O1220" s="10">
        <f t="shared" si="51"/>
        <v>0</v>
      </c>
    </row>
    <row r="1221" spans="1:15" x14ac:dyDescent="0.25">
      <c r="A1221" s="176" t="s">
        <v>60</v>
      </c>
      <c r="B1221" s="176"/>
      <c r="C1221" s="176"/>
      <c r="D1221" s="176"/>
      <c r="E1221" s="176"/>
      <c r="F1221" s="176"/>
      <c r="G1221" s="176"/>
      <c r="H1221" s="176"/>
      <c r="I1221" s="176"/>
      <c r="J1221" s="176"/>
      <c r="K1221" s="176"/>
      <c r="L1221" s="176"/>
      <c r="M1221" s="176" t="s">
        <v>61</v>
      </c>
      <c r="N1221" s="176"/>
      <c r="O1221" s="10"/>
    </row>
    <row r="1222" spans="1:15" x14ac:dyDescent="0.25">
      <c r="A1222" s="176" t="s">
        <v>62</v>
      </c>
      <c r="B1222" s="176"/>
      <c r="C1222" s="176"/>
      <c r="D1222" s="176"/>
      <c r="E1222" s="176"/>
      <c r="F1222" s="176"/>
      <c r="G1222" s="176"/>
      <c r="H1222" s="176"/>
      <c r="I1222" s="176"/>
      <c r="J1222" s="176"/>
      <c r="K1222" s="176"/>
      <c r="L1222" s="176"/>
      <c r="M1222" s="176" t="s">
        <v>61</v>
      </c>
      <c r="N1222" s="176"/>
      <c r="O1222" s="10"/>
    </row>
    <row r="1223" spans="1:15" x14ac:dyDescent="0.25">
      <c r="A1223" s="209" t="s">
        <v>91</v>
      </c>
      <c r="B1223" s="209"/>
      <c r="C1223" s="209"/>
      <c r="D1223" s="209"/>
      <c r="E1223" s="209"/>
      <c r="F1223" s="209"/>
      <c r="G1223" s="209"/>
      <c r="H1223" s="209"/>
      <c r="I1223" s="209"/>
      <c r="J1223" s="209"/>
      <c r="K1223" s="209"/>
      <c r="L1223" s="209"/>
      <c r="M1223" s="209"/>
      <c r="N1223" s="209"/>
      <c r="O1223" s="4"/>
    </row>
    <row r="1224" spans="1:15" x14ac:dyDescent="0.25">
      <c r="A1224" s="209" t="s">
        <v>89</v>
      </c>
      <c r="B1224" s="209"/>
      <c r="C1224" s="209"/>
      <c r="D1224" s="209"/>
      <c r="E1224" s="209"/>
      <c r="F1224" s="209"/>
      <c r="G1224" s="209"/>
      <c r="H1224" s="209"/>
      <c r="I1224" s="209"/>
      <c r="J1224" s="209"/>
      <c r="K1224" s="209"/>
      <c r="L1224" s="209"/>
      <c r="M1224" s="209"/>
      <c r="N1224" s="209"/>
      <c r="O1224" s="4"/>
    </row>
    <row r="1225" spans="1:15" x14ac:dyDescent="0.25">
      <c r="A1225" s="209" t="s">
        <v>44</v>
      </c>
      <c r="B1225" s="209"/>
      <c r="C1225" s="209"/>
      <c r="D1225" s="209"/>
      <c r="E1225" s="209"/>
      <c r="F1225" s="209"/>
      <c r="G1225" s="209"/>
      <c r="H1225" s="209"/>
      <c r="I1225" s="209"/>
      <c r="J1225" s="209"/>
      <c r="K1225" s="209"/>
      <c r="L1225" s="209"/>
      <c r="M1225" s="209"/>
      <c r="N1225" s="209"/>
      <c r="O1225" s="4"/>
    </row>
    <row r="1226" spans="1:15" ht="15.75" x14ac:dyDescent="0.25">
      <c r="A1226" s="210" t="s">
        <v>72</v>
      </c>
      <c r="B1226" s="210"/>
      <c r="C1226" s="210"/>
      <c r="D1226" s="210"/>
      <c r="E1226" s="210"/>
      <c r="F1226" s="210"/>
      <c r="G1226" s="210"/>
      <c r="H1226" s="210"/>
      <c r="I1226" s="210"/>
      <c r="J1226" s="210"/>
      <c r="K1226" s="210"/>
      <c r="L1226" s="210"/>
      <c r="M1226" s="210"/>
      <c r="N1226" s="210"/>
      <c r="O1226" s="4"/>
    </row>
    <row r="1227" spans="1:15" ht="15.75" x14ac:dyDescent="0.25">
      <c r="A1227" s="211" t="s">
        <v>125</v>
      </c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211"/>
      <c r="N1227" s="211"/>
      <c r="O1227" s="4"/>
    </row>
    <row r="1228" spans="1:15" ht="15.75" x14ac:dyDescent="0.25">
      <c r="A1228" s="5" t="s">
        <v>46</v>
      </c>
      <c r="B1228" s="208" t="s">
        <v>123</v>
      </c>
      <c r="C1228" s="208"/>
      <c r="D1228" s="208"/>
      <c r="E1228" s="208"/>
      <c r="F1228" s="208"/>
      <c r="G1228" s="208"/>
      <c r="H1228" s="208"/>
      <c r="I1228" s="208"/>
      <c r="J1228" s="208"/>
      <c r="K1228" s="208"/>
      <c r="L1228" s="208"/>
      <c r="M1228" s="208"/>
      <c r="N1228" s="208"/>
      <c r="O1228" s="4"/>
    </row>
    <row r="1229" spans="1:15" ht="15.75" x14ac:dyDescent="0.25">
      <c r="A1229" s="5" t="s">
        <v>47</v>
      </c>
      <c r="B1229" s="175" t="s">
        <v>119</v>
      </c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4" t="s">
        <v>74</v>
      </c>
      <c r="M1229" s="174"/>
      <c r="N1229" s="34">
        <v>6880.1253741175087</v>
      </c>
      <c r="O1229" s="4"/>
    </row>
    <row r="1230" spans="1:15" x14ac:dyDescent="0.25">
      <c r="A1230" s="6" t="s">
        <v>21</v>
      </c>
      <c r="B1230" s="7" t="s">
        <v>92</v>
      </c>
      <c r="C1230" s="6" t="s">
        <v>22</v>
      </c>
      <c r="D1230" s="7">
        <v>2020</v>
      </c>
      <c r="E1230" s="194" t="s">
        <v>20</v>
      </c>
      <c r="F1230" s="194"/>
      <c r="G1230" s="194"/>
      <c r="H1230" s="195" t="s">
        <v>124</v>
      </c>
      <c r="I1230" s="196"/>
      <c r="J1230" s="196"/>
      <c r="K1230" s="196"/>
      <c r="L1230" s="196"/>
      <c r="M1230" s="196"/>
      <c r="N1230" s="197"/>
      <c r="O1230" s="4"/>
    </row>
    <row r="1231" spans="1:15" x14ac:dyDescent="0.25">
      <c r="A1231" s="198" t="s">
        <v>48</v>
      </c>
      <c r="B1231" s="199"/>
      <c r="C1231" s="200"/>
      <c r="D1231" s="204" t="s">
        <v>49</v>
      </c>
      <c r="E1231" s="205"/>
      <c r="F1231" s="205"/>
      <c r="G1231" s="205"/>
      <c r="H1231" s="206"/>
      <c r="I1231" s="207" t="s">
        <v>50</v>
      </c>
      <c r="J1231" s="207"/>
      <c r="K1231" s="207"/>
      <c r="L1231" s="207"/>
      <c r="M1231" s="207"/>
      <c r="N1231" s="207"/>
      <c r="O1231" s="4"/>
    </row>
    <row r="1232" spans="1:15" ht="30" x14ac:dyDescent="0.25">
      <c r="A1232" s="201"/>
      <c r="B1232" s="202"/>
      <c r="C1232" s="203"/>
      <c r="D1232" s="8" t="s">
        <v>51</v>
      </c>
      <c r="E1232" s="8" t="s">
        <v>52</v>
      </c>
      <c r="F1232" s="8" t="s">
        <v>53</v>
      </c>
      <c r="G1232" s="8" t="s">
        <v>54</v>
      </c>
      <c r="H1232" s="8" t="s">
        <v>55</v>
      </c>
      <c r="I1232" s="33" t="s">
        <v>51</v>
      </c>
      <c r="J1232" s="33" t="s">
        <v>52</v>
      </c>
      <c r="K1232" s="33" t="s">
        <v>53</v>
      </c>
      <c r="L1232" s="33" t="s">
        <v>54</v>
      </c>
      <c r="M1232" s="201" t="s">
        <v>56</v>
      </c>
      <c r="N1232" s="203"/>
      <c r="O1232" s="4"/>
    </row>
    <row r="1233" spans="1:15" x14ac:dyDescent="0.25">
      <c r="A1233" s="181" t="s">
        <v>2</v>
      </c>
      <c r="B1233" s="182"/>
      <c r="C1233" s="183"/>
      <c r="D1233" s="9" t="s">
        <v>57</v>
      </c>
      <c r="E1233" s="9" t="s">
        <v>57</v>
      </c>
      <c r="F1233" s="9" t="s">
        <v>57</v>
      </c>
      <c r="G1233" s="9" t="s">
        <v>57</v>
      </c>
      <c r="H1233" s="9"/>
      <c r="I1233" s="15">
        <v>0</v>
      </c>
      <c r="J1233" s="15">
        <v>0</v>
      </c>
      <c r="K1233" s="15">
        <v>0</v>
      </c>
      <c r="L1233" s="15">
        <v>0</v>
      </c>
      <c r="M1233" s="190">
        <f>I1233+J1233+K1233+L1233</f>
        <v>0</v>
      </c>
      <c r="N1233" s="191"/>
      <c r="O1233" s="4"/>
    </row>
    <row r="1234" spans="1:15" x14ac:dyDescent="0.25">
      <c r="A1234" s="181" t="s">
        <v>3</v>
      </c>
      <c r="B1234" s="182"/>
      <c r="C1234" s="183"/>
      <c r="D1234" s="9" t="s">
        <v>57</v>
      </c>
      <c r="E1234" s="9" t="s">
        <v>57</v>
      </c>
      <c r="F1234" s="9" t="s">
        <v>57</v>
      </c>
      <c r="G1234" s="9" t="s">
        <v>57</v>
      </c>
      <c r="H1234" s="9"/>
      <c r="I1234" s="15">
        <v>0</v>
      </c>
      <c r="J1234" s="15">
        <v>0</v>
      </c>
      <c r="K1234" s="15">
        <v>0</v>
      </c>
      <c r="L1234" s="15">
        <v>0</v>
      </c>
      <c r="M1234" s="192">
        <f t="shared" ref="M1234:M1241" si="52">I1234+J1234+K1234+L1234</f>
        <v>0</v>
      </c>
      <c r="N1234" s="193"/>
      <c r="O1234" s="4"/>
    </row>
    <row r="1235" spans="1:15" x14ac:dyDescent="0.25">
      <c r="A1235" s="181" t="s">
        <v>4</v>
      </c>
      <c r="B1235" s="182"/>
      <c r="C1235" s="183"/>
      <c r="D1235" s="9" t="s">
        <v>57</v>
      </c>
      <c r="E1235" s="9" t="s">
        <v>57</v>
      </c>
      <c r="F1235" s="9" t="s">
        <v>57</v>
      </c>
      <c r="G1235" s="9" t="s">
        <v>57</v>
      </c>
      <c r="H1235" s="9"/>
      <c r="I1235" s="15">
        <v>0</v>
      </c>
      <c r="J1235" s="15">
        <v>0</v>
      </c>
      <c r="K1235" s="15">
        <v>0</v>
      </c>
      <c r="L1235" s="15">
        <v>0</v>
      </c>
      <c r="M1235" s="192">
        <f t="shared" si="52"/>
        <v>0</v>
      </c>
      <c r="N1235" s="193"/>
      <c r="O1235" s="4"/>
    </row>
    <row r="1236" spans="1:15" x14ac:dyDescent="0.25">
      <c r="A1236" s="181" t="s">
        <v>5</v>
      </c>
      <c r="B1236" s="182"/>
      <c r="C1236" s="183"/>
      <c r="D1236" s="9" t="s">
        <v>57</v>
      </c>
      <c r="E1236" s="9" t="s">
        <v>57</v>
      </c>
      <c r="F1236" s="9" t="s">
        <v>57</v>
      </c>
      <c r="G1236" s="9" t="s">
        <v>57</v>
      </c>
      <c r="H1236" s="9"/>
      <c r="I1236" s="15">
        <v>0</v>
      </c>
      <c r="J1236" s="15">
        <v>0</v>
      </c>
      <c r="K1236" s="15">
        <v>0</v>
      </c>
      <c r="L1236" s="15">
        <v>0</v>
      </c>
      <c r="M1236" s="192">
        <f t="shared" si="52"/>
        <v>0</v>
      </c>
      <c r="N1236" s="193"/>
      <c r="O1236" s="4"/>
    </row>
    <row r="1237" spans="1:15" x14ac:dyDescent="0.25">
      <c r="A1237" s="181" t="s">
        <v>6</v>
      </c>
      <c r="B1237" s="182"/>
      <c r="C1237" s="183"/>
      <c r="D1237" s="9" t="s">
        <v>57</v>
      </c>
      <c r="E1237" s="9" t="s">
        <v>57</v>
      </c>
      <c r="F1237" s="9" t="s">
        <v>57</v>
      </c>
      <c r="G1237" s="9" t="s">
        <v>57</v>
      </c>
      <c r="H1237" s="9"/>
      <c r="I1237" s="15">
        <v>0</v>
      </c>
      <c r="J1237" s="15">
        <v>0</v>
      </c>
      <c r="K1237" s="15">
        <v>0</v>
      </c>
      <c r="L1237" s="15">
        <v>0</v>
      </c>
      <c r="M1237" s="192">
        <f t="shared" si="52"/>
        <v>0</v>
      </c>
      <c r="N1237" s="193"/>
      <c r="O1237" s="4"/>
    </row>
    <row r="1238" spans="1:15" x14ac:dyDescent="0.25">
      <c r="A1238" s="181" t="s">
        <v>8</v>
      </c>
      <c r="B1238" s="182"/>
      <c r="C1238" s="183"/>
      <c r="D1238" s="9" t="s">
        <v>57</v>
      </c>
      <c r="E1238" s="9" t="s">
        <v>57</v>
      </c>
      <c r="F1238" s="9" t="s">
        <v>57</v>
      </c>
      <c r="G1238" s="9" t="s">
        <v>57</v>
      </c>
      <c r="H1238" s="9"/>
      <c r="I1238" s="15">
        <v>0</v>
      </c>
      <c r="J1238" s="15">
        <v>0</v>
      </c>
      <c r="K1238" s="15">
        <v>0</v>
      </c>
      <c r="L1238" s="15">
        <v>0</v>
      </c>
      <c r="M1238" s="192">
        <f t="shared" si="52"/>
        <v>0</v>
      </c>
      <c r="N1238" s="193"/>
      <c r="O1238" s="4"/>
    </row>
    <row r="1239" spans="1:15" x14ac:dyDescent="0.25">
      <c r="A1239" s="181" t="s">
        <v>38</v>
      </c>
      <c r="B1239" s="182"/>
      <c r="C1239" s="183"/>
      <c r="D1239" s="9" t="s">
        <v>57</v>
      </c>
      <c r="E1239" s="9" t="s">
        <v>57</v>
      </c>
      <c r="F1239" s="9" t="s">
        <v>57</v>
      </c>
      <c r="G1239" s="9" t="s">
        <v>57</v>
      </c>
      <c r="H1239" s="9"/>
      <c r="I1239" s="15">
        <v>0</v>
      </c>
      <c r="J1239" s="15">
        <v>0</v>
      </c>
      <c r="K1239" s="15">
        <v>0</v>
      </c>
      <c r="L1239" s="15">
        <v>0</v>
      </c>
      <c r="M1239" s="192">
        <f t="shared" si="52"/>
        <v>0</v>
      </c>
      <c r="N1239" s="193"/>
      <c r="O1239" s="4"/>
    </row>
    <row r="1240" spans="1:15" x14ac:dyDescent="0.25">
      <c r="A1240" s="181" t="s">
        <v>7</v>
      </c>
      <c r="B1240" s="182"/>
      <c r="C1240" s="183"/>
      <c r="D1240" s="9" t="s">
        <v>57</v>
      </c>
      <c r="E1240" s="9" t="s">
        <v>57</v>
      </c>
      <c r="F1240" s="9" t="s">
        <v>57</v>
      </c>
      <c r="G1240" s="9" t="s">
        <v>57</v>
      </c>
      <c r="H1240" s="9"/>
      <c r="I1240" s="15">
        <v>0</v>
      </c>
      <c r="J1240" s="15">
        <v>0</v>
      </c>
      <c r="K1240" s="15">
        <v>0</v>
      </c>
      <c r="L1240" s="15">
        <v>0</v>
      </c>
      <c r="M1240" s="192">
        <f t="shared" si="52"/>
        <v>0</v>
      </c>
      <c r="N1240" s="193"/>
      <c r="O1240" s="4"/>
    </row>
    <row r="1241" spans="1:15" x14ac:dyDescent="0.25">
      <c r="A1241" s="181" t="s">
        <v>90</v>
      </c>
      <c r="B1241" s="182"/>
      <c r="C1241" s="183"/>
      <c r="D1241" s="9" t="s">
        <v>57</v>
      </c>
      <c r="E1241" s="9" t="s">
        <v>57</v>
      </c>
      <c r="F1241" s="9" t="s">
        <v>57</v>
      </c>
      <c r="G1241" s="9" t="s">
        <v>57</v>
      </c>
      <c r="H1241" s="9"/>
      <c r="I1241" s="15">
        <v>0</v>
      </c>
      <c r="J1241" s="15">
        <v>0</v>
      </c>
      <c r="K1241" s="15">
        <v>0</v>
      </c>
      <c r="L1241" s="15">
        <v>0</v>
      </c>
      <c r="M1241" s="188">
        <f t="shared" si="52"/>
        <v>0</v>
      </c>
      <c r="N1241" s="189"/>
      <c r="O1241" s="4"/>
    </row>
    <row r="1242" spans="1:15" x14ac:dyDescent="0.25">
      <c r="O1242" s="4"/>
    </row>
    <row r="1243" spans="1:15" ht="15.75" x14ac:dyDescent="0.25">
      <c r="A1243" s="177" t="s">
        <v>58</v>
      </c>
      <c r="B1243" s="177"/>
      <c r="C1243" s="177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4"/>
    </row>
    <row r="1244" spans="1:15" x14ac:dyDescent="0.25">
      <c r="A1244" s="178"/>
      <c r="B1244" s="179"/>
      <c r="C1244" s="179"/>
      <c r="D1244" s="179"/>
      <c r="E1244" s="179"/>
      <c r="F1244" s="179"/>
      <c r="G1244" s="179"/>
      <c r="H1244" s="179"/>
      <c r="I1244" s="179"/>
      <c r="J1244" s="179"/>
      <c r="K1244" s="179"/>
      <c r="L1244" s="179"/>
      <c r="M1244" s="179"/>
      <c r="N1244" s="180"/>
      <c r="O1244" s="10">
        <f>A1244</f>
        <v>0</v>
      </c>
    </row>
    <row r="1245" spans="1:15" x14ac:dyDescent="0.25">
      <c r="A1245" s="174" t="s">
        <v>59</v>
      </c>
      <c r="B1245" s="174"/>
      <c r="C1245" s="174"/>
      <c r="D1245" s="174"/>
      <c r="E1245" s="174"/>
      <c r="F1245" s="174"/>
      <c r="G1245" s="174"/>
      <c r="H1245" s="174"/>
      <c r="I1245" s="174"/>
      <c r="J1245" s="174"/>
      <c r="K1245" s="174"/>
      <c r="L1245" s="174"/>
      <c r="M1245" s="174"/>
      <c r="N1245" s="174"/>
      <c r="O1245" s="10"/>
    </row>
    <row r="1246" spans="1:15" x14ac:dyDescent="0.25">
      <c r="A1246" s="178"/>
      <c r="B1246" s="179"/>
      <c r="C1246" s="179"/>
      <c r="D1246" s="179"/>
      <c r="E1246" s="179"/>
      <c r="F1246" s="179"/>
      <c r="G1246" s="179"/>
      <c r="H1246" s="179"/>
      <c r="I1246" s="179"/>
      <c r="J1246" s="179"/>
      <c r="K1246" s="179"/>
      <c r="L1246" s="179"/>
      <c r="M1246" s="179"/>
      <c r="N1246" s="180"/>
      <c r="O1246" s="10">
        <f t="shared" ref="O1246:O1267" si="53">A1246</f>
        <v>0</v>
      </c>
    </row>
    <row r="1247" spans="1:15" x14ac:dyDescent="0.25">
      <c r="A1247" s="176" t="s">
        <v>60</v>
      </c>
      <c r="B1247" s="176"/>
      <c r="C1247" s="176"/>
      <c r="D1247" s="176"/>
      <c r="E1247" s="176"/>
      <c r="F1247" s="176"/>
      <c r="G1247" s="176"/>
      <c r="H1247" s="176"/>
      <c r="I1247" s="176"/>
      <c r="J1247" s="176"/>
      <c r="K1247" s="176"/>
      <c r="L1247" s="176"/>
      <c r="M1247" s="176" t="s">
        <v>61</v>
      </c>
      <c r="N1247" s="176"/>
      <c r="O1247" s="10"/>
    </row>
    <row r="1248" spans="1:15" x14ac:dyDescent="0.25">
      <c r="A1248" s="176" t="s">
        <v>62</v>
      </c>
      <c r="B1248" s="176"/>
      <c r="C1248" s="176"/>
      <c r="D1248" s="176"/>
      <c r="E1248" s="176"/>
      <c r="F1248" s="176"/>
      <c r="G1248" s="176"/>
      <c r="H1248" s="176"/>
      <c r="I1248" s="176"/>
      <c r="J1248" s="176"/>
      <c r="K1248" s="176"/>
      <c r="L1248" s="176"/>
      <c r="M1248" s="176" t="s">
        <v>61</v>
      </c>
      <c r="N1248" s="176"/>
      <c r="O1248" s="10"/>
    </row>
    <row r="1249" spans="1:15" x14ac:dyDescent="0.25">
      <c r="O1249" s="10"/>
    </row>
    <row r="1250" spans="1:15" ht="15.75" x14ac:dyDescent="0.25">
      <c r="A1250" s="184" t="s">
        <v>63</v>
      </c>
      <c r="B1250" s="185"/>
      <c r="C1250" s="185"/>
      <c r="D1250" s="185"/>
      <c r="E1250" s="185"/>
      <c r="F1250" s="185"/>
      <c r="G1250" s="185"/>
      <c r="H1250" s="185"/>
      <c r="I1250" s="185"/>
      <c r="J1250" s="185"/>
      <c r="K1250" s="185"/>
      <c r="L1250" s="185"/>
      <c r="M1250" s="185"/>
      <c r="N1250" s="186"/>
      <c r="O1250" s="10"/>
    </row>
    <row r="1251" spans="1:15" x14ac:dyDescent="0.25">
      <c r="A1251" s="178"/>
      <c r="B1251" s="179"/>
      <c r="C1251" s="179"/>
      <c r="D1251" s="179"/>
      <c r="E1251" s="179"/>
      <c r="F1251" s="179"/>
      <c r="G1251" s="179"/>
      <c r="H1251" s="179"/>
      <c r="I1251" s="179"/>
      <c r="J1251" s="179"/>
      <c r="K1251" s="179"/>
      <c r="L1251" s="179"/>
      <c r="M1251" s="179"/>
      <c r="N1251" s="179"/>
      <c r="O1251" s="10">
        <f t="shared" si="53"/>
        <v>0</v>
      </c>
    </row>
    <row r="1252" spans="1:15" x14ac:dyDescent="0.25">
      <c r="A1252" s="174" t="s">
        <v>64</v>
      </c>
      <c r="B1252" s="174"/>
      <c r="C1252" s="174"/>
      <c r="D1252" s="174"/>
      <c r="E1252" s="174"/>
      <c r="F1252" s="174"/>
      <c r="G1252" s="174"/>
      <c r="H1252" s="174"/>
      <c r="I1252" s="174"/>
      <c r="J1252" s="174"/>
      <c r="K1252" s="174"/>
      <c r="L1252" s="174"/>
      <c r="M1252" s="174"/>
      <c r="N1252" s="174"/>
      <c r="O1252" s="10"/>
    </row>
    <row r="1253" spans="1:15" x14ac:dyDescent="0.25">
      <c r="A1253" s="178"/>
      <c r="B1253" s="179"/>
      <c r="C1253" s="179"/>
      <c r="D1253" s="179"/>
      <c r="E1253" s="179"/>
      <c r="F1253" s="179"/>
      <c r="G1253" s="179"/>
      <c r="H1253" s="179"/>
      <c r="I1253" s="179"/>
      <c r="J1253" s="179"/>
      <c r="K1253" s="179"/>
      <c r="L1253" s="179"/>
      <c r="M1253" s="179"/>
      <c r="N1253" s="180"/>
      <c r="O1253" s="10">
        <f t="shared" si="53"/>
        <v>0</v>
      </c>
    </row>
    <row r="1254" spans="1:15" x14ac:dyDescent="0.25">
      <c r="A1254" s="176" t="s">
        <v>60</v>
      </c>
      <c r="B1254" s="176"/>
      <c r="C1254" s="176"/>
      <c r="D1254" s="176"/>
      <c r="E1254" s="176"/>
      <c r="F1254" s="176"/>
      <c r="G1254" s="176"/>
      <c r="H1254" s="176"/>
      <c r="I1254" s="176"/>
      <c r="J1254" s="176"/>
      <c r="K1254" s="176"/>
      <c r="L1254" s="176"/>
      <c r="M1254" s="176" t="s">
        <v>61</v>
      </c>
      <c r="N1254" s="176"/>
      <c r="O1254" s="10"/>
    </row>
    <row r="1255" spans="1:15" x14ac:dyDescent="0.25">
      <c r="A1255" s="176" t="s">
        <v>62</v>
      </c>
      <c r="B1255" s="176"/>
      <c r="C1255" s="176"/>
      <c r="D1255" s="176"/>
      <c r="E1255" s="176"/>
      <c r="F1255" s="176"/>
      <c r="G1255" s="176"/>
      <c r="H1255" s="176"/>
      <c r="I1255" s="176"/>
      <c r="J1255" s="176"/>
      <c r="K1255" s="176"/>
      <c r="L1255" s="176"/>
      <c r="M1255" s="176" t="s">
        <v>61</v>
      </c>
      <c r="N1255" s="176"/>
      <c r="O1255" s="10"/>
    </row>
    <row r="1256" spans="1:15" x14ac:dyDescent="0.25">
      <c r="O1256" s="10"/>
    </row>
    <row r="1257" spans="1:15" ht="15.75" x14ac:dyDescent="0.25">
      <c r="A1257" s="177" t="s">
        <v>65</v>
      </c>
      <c r="B1257" s="177"/>
      <c r="C1257" s="177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0"/>
    </row>
    <row r="1258" spans="1:15" x14ac:dyDescent="0.25">
      <c r="A1258" s="178"/>
      <c r="B1258" s="179"/>
      <c r="C1258" s="179"/>
      <c r="D1258" s="179"/>
      <c r="E1258" s="179"/>
      <c r="F1258" s="179"/>
      <c r="G1258" s="179"/>
      <c r="H1258" s="179"/>
      <c r="I1258" s="179"/>
      <c r="J1258" s="179"/>
      <c r="K1258" s="179"/>
      <c r="L1258" s="179"/>
      <c r="M1258" s="179"/>
      <c r="N1258" s="180"/>
      <c r="O1258" s="10">
        <f t="shared" si="53"/>
        <v>0</v>
      </c>
    </row>
    <row r="1259" spans="1:15" x14ac:dyDescent="0.25">
      <c r="A1259" s="174" t="s">
        <v>66</v>
      </c>
      <c r="B1259" s="174"/>
      <c r="C1259" s="174"/>
      <c r="D1259" s="174"/>
      <c r="E1259" s="174"/>
      <c r="F1259" s="174"/>
      <c r="G1259" s="174"/>
      <c r="H1259" s="174"/>
      <c r="I1259" s="174"/>
      <c r="J1259" s="174"/>
      <c r="K1259" s="174"/>
      <c r="L1259" s="174"/>
      <c r="M1259" s="174"/>
      <c r="N1259" s="174"/>
      <c r="O1259" s="10"/>
    </row>
    <row r="1260" spans="1:15" x14ac:dyDescent="0.25">
      <c r="A1260" s="178"/>
      <c r="B1260" s="179"/>
      <c r="C1260" s="179"/>
      <c r="D1260" s="179"/>
      <c r="E1260" s="179"/>
      <c r="F1260" s="179"/>
      <c r="G1260" s="179"/>
      <c r="H1260" s="179"/>
      <c r="I1260" s="179"/>
      <c r="J1260" s="179"/>
      <c r="K1260" s="179"/>
      <c r="L1260" s="179"/>
      <c r="M1260" s="179"/>
      <c r="N1260" s="180"/>
      <c r="O1260" s="10">
        <f t="shared" si="53"/>
        <v>0</v>
      </c>
    </row>
    <row r="1261" spans="1:15" x14ac:dyDescent="0.25">
      <c r="A1261" s="187" t="s">
        <v>60</v>
      </c>
      <c r="B1261" s="187"/>
      <c r="C1261" s="187"/>
      <c r="D1261" s="187"/>
      <c r="E1261" s="187"/>
      <c r="F1261" s="187"/>
      <c r="G1261" s="187"/>
      <c r="H1261" s="187"/>
      <c r="I1261" s="187"/>
      <c r="J1261" s="187"/>
      <c r="K1261" s="187"/>
      <c r="L1261" s="187"/>
      <c r="M1261" s="176" t="s">
        <v>61</v>
      </c>
      <c r="N1261" s="176"/>
      <c r="O1261" s="10"/>
    </row>
    <row r="1262" spans="1:15" x14ac:dyDescent="0.25">
      <c r="A1262" s="187" t="s">
        <v>62</v>
      </c>
      <c r="B1262" s="187"/>
      <c r="C1262" s="187"/>
      <c r="D1262" s="187"/>
      <c r="E1262" s="187"/>
      <c r="F1262" s="187"/>
      <c r="G1262" s="187"/>
      <c r="H1262" s="187"/>
      <c r="I1262" s="187"/>
      <c r="J1262" s="187"/>
      <c r="K1262" s="187"/>
      <c r="L1262" s="187"/>
      <c r="M1262" s="176" t="s">
        <v>61</v>
      </c>
      <c r="N1262" s="176"/>
      <c r="O1262" s="10"/>
    </row>
    <row r="1263" spans="1:15" x14ac:dyDescent="0.25">
      <c r="O1263" s="10"/>
    </row>
    <row r="1264" spans="1:15" ht="15.75" x14ac:dyDescent="0.25">
      <c r="A1264" s="184" t="s">
        <v>67</v>
      </c>
      <c r="B1264" s="185"/>
      <c r="C1264" s="185"/>
      <c r="D1264" s="185"/>
      <c r="E1264" s="185"/>
      <c r="F1264" s="185"/>
      <c r="G1264" s="185"/>
      <c r="H1264" s="185"/>
      <c r="I1264" s="185"/>
      <c r="J1264" s="185"/>
      <c r="K1264" s="185"/>
      <c r="L1264" s="185"/>
      <c r="M1264" s="185"/>
      <c r="N1264" s="186"/>
      <c r="O1264" s="10"/>
    </row>
    <row r="1265" spans="1:15" x14ac:dyDescent="0.25">
      <c r="A1265" s="178"/>
      <c r="B1265" s="179"/>
      <c r="C1265" s="179"/>
      <c r="D1265" s="179"/>
      <c r="E1265" s="179"/>
      <c r="F1265" s="179"/>
      <c r="G1265" s="179"/>
      <c r="H1265" s="179"/>
      <c r="I1265" s="179"/>
      <c r="J1265" s="179"/>
      <c r="K1265" s="179"/>
      <c r="L1265" s="179"/>
      <c r="M1265" s="179"/>
      <c r="N1265" s="180"/>
      <c r="O1265" s="10">
        <f t="shared" si="53"/>
        <v>0</v>
      </c>
    </row>
    <row r="1266" spans="1:15" x14ac:dyDescent="0.25">
      <c r="A1266" s="174" t="s">
        <v>68</v>
      </c>
      <c r="B1266" s="174"/>
      <c r="C1266" s="174"/>
      <c r="D1266" s="174"/>
      <c r="E1266" s="174"/>
      <c r="F1266" s="174"/>
      <c r="G1266" s="174"/>
      <c r="H1266" s="174"/>
      <c r="I1266" s="174"/>
      <c r="J1266" s="174"/>
      <c r="K1266" s="174"/>
      <c r="L1266" s="174"/>
      <c r="M1266" s="174"/>
      <c r="N1266" s="174"/>
      <c r="O1266" s="10"/>
    </row>
    <row r="1267" spans="1:15" x14ac:dyDescent="0.25">
      <c r="A1267" s="178"/>
      <c r="B1267" s="179"/>
      <c r="C1267" s="179"/>
      <c r="D1267" s="179"/>
      <c r="E1267" s="179"/>
      <c r="F1267" s="179"/>
      <c r="G1267" s="179"/>
      <c r="H1267" s="179"/>
      <c r="I1267" s="179"/>
      <c r="J1267" s="179"/>
      <c r="K1267" s="179"/>
      <c r="L1267" s="179"/>
      <c r="M1267" s="179"/>
      <c r="N1267" s="180"/>
      <c r="O1267" s="10">
        <f t="shared" si="53"/>
        <v>0</v>
      </c>
    </row>
    <row r="1268" spans="1:15" x14ac:dyDescent="0.25">
      <c r="A1268" s="176" t="s">
        <v>60</v>
      </c>
      <c r="B1268" s="176"/>
      <c r="C1268" s="176"/>
      <c r="D1268" s="176"/>
      <c r="E1268" s="176"/>
      <c r="F1268" s="176"/>
      <c r="G1268" s="176"/>
      <c r="H1268" s="176"/>
      <c r="I1268" s="176"/>
      <c r="J1268" s="176"/>
      <c r="K1268" s="176"/>
      <c r="L1268" s="176"/>
      <c r="M1268" s="176" t="s">
        <v>61</v>
      </c>
      <c r="N1268" s="176"/>
      <c r="O1268" s="10"/>
    </row>
    <row r="1269" spans="1:15" x14ac:dyDescent="0.25">
      <c r="A1269" s="176" t="s">
        <v>62</v>
      </c>
      <c r="B1269" s="176"/>
      <c r="C1269" s="176"/>
      <c r="D1269" s="176"/>
      <c r="E1269" s="176"/>
      <c r="F1269" s="176"/>
      <c r="G1269" s="176"/>
      <c r="H1269" s="176"/>
      <c r="I1269" s="176"/>
      <c r="J1269" s="176"/>
      <c r="K1269" s="176"/>
      <c r="L1269" s="176"/>
      <c r="M1269" s="176" t="s">
        <v>61</v>
      </c>
      <c r="N1269" s="176"/>
      <c r="O1269" s="10"/>
    </row>
    <row r="1270" spans="1:15" x14ac:dyDescent="0.25">
      <c r="A1270" s="209" t="s">
        <v>91</v>
      </c>
      <c r="B1270" s="209"/>
      <c r="C1270" s="209"/>
      <c r="D1270" s="209"/>
      <c r="E1270" s="209"/>
      <c r="F1270" s="209"/>
      <c r="G1270" s="209"/>
      <c r="H1270" s="209"/>
      <c r="I1270" s="209"/>
      <c r="J1270" s="209"/>
      <c r="K1270" s="209"/>
      <c r="L1270" s="209"/>
      <c r="M1270" s="209"/>
      <c r="N1270" s="209"/>
      <c r="O1270" s="4"/>
    </row>
    <row r="1271" spans="1:15" x14ac:dyDescent="0.25">
      <c r="A1271" s="209" t="s">
        <v>89</v>
      </c>
      <c r="B1271" s="209"/>
      <c r="C1271" s="209"/>
      <c r="D1271" s="209"/>
      <c r="E1271" s="209"/>
      <c r="F1271" s="209"/>
      <c r="G1271" s="209"/>
      <c r="H1271" s="209"/>
      <c r="I1271" s="209"/>
      <c r="J1271" s="209"/>
      <c r="K1271" s="209"/>
      <c r="L1271" s="209"/>
      <c r="M1271" s="209"/>
      <c r="N1271" s="209"/>
      <c r="O1271" s="4"/>
    </row>
    <row r="1272" spans="1:15" x14ac:dyDescent="0.25">
      <c r="A1272" s="209" t="s">
        <v>44</v>
      </c>
      <c r="B1272" s="209"/>
      <c r="C1272" s="209"/>
      <c r="D1272" s="209"/>
      <c r="E1272" s="209"/>
      <c r="F1272" s="209"/>
      <c r="G1272" s="209"/>
      <c r="H1272" s="209"/>
      <c r="I1272" s="209"/>
      <c r="J1272" s="209"/>
      <c r="K1272" s="209"/>
      <c r="L1272" s="209"/>
      <c r="M1272" s="209"/>
      <c r="N1272" s="209"/>
      <c r="O1272" s="4"/>
    </row>
    <row r="1273" spans="1:15" ht="15.75" x14ac:dyDescent="0.25">
      <c r="A1273" s="210" t="s">
        <v>72</v>
      </c>
      <c r="B1273" s="210"/>
      <c r="C1273" s="210"/>
      <c r="D1273" s="210"/>
      <c r="E1273" s="210"/>
      <c r="F1273" s="210"/>
      <c r="G1273" s="210"/>
      <c r="H1273" s="210"/>
      <c r="I1273" s="210"/>
      <c r="J1273" s="210"/>
      <c r="K1273" s="210"/>
      <c r="L1273" s="210"/>
      <c r="M1273" s="210"/>
      <c r="N1273" s="210"/>
      <c r="O1273" s="4"/>
    </row>
    <row r="1274" spans="1:15" ht="15.75" x14ac:dyDescent="0.25">
      <c r="A1274" s="211" t="s">
        <v>125</v>
      </c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211"/>
      <c r="N1274" s="211"/>
      <c r="O1274" s="4"/>
    </row>
    <row r="1275" spans="1:15" ht="15.75" x14ac:dyDescent="0.25">
      <c r="A1275" s="5" t="s">
        <v>46</v>
      </c>
      <c r="B1275" s="208" t="s">
        <v>123</v>
      </c>
      <c r="C1275" s="208"/>
      <c r="D1275" s="208"/>
      <c r="E1275" s="208"/>
      <c r="F1275" s="208"/>
      <c r="G1275" s="208"/>
      <c r="H1275" s="208"/>
      <c r="I1275" s="208"/>
      <c r="J1275" s="208"/>
      <c r="K1275" s="208"/>
      <c r="L1275" s="208"/>
      <c r="M1275" s="208"/>
      <c r="N1275" s="208"/>
      <c r="O1275" s="4"/>
    </row>
    <row r="1276" spans="1:15" ht="15.75" x14ac:dyDescent="0.25">
      <c r="A1276" s="5" t="s">
        <v>47</v>
      </c>
      <c r="B1276" s="175" t="s">
        <v>120</v>
      </c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4" t="s">
        <v>74</v>
      </c>
      <c r="M1276" s="174"/>
      <c r="N1276" s="34">
        <v>19362.148548673063</v>
      </c>
      <c r="O1276" s="4"/>
    </row>
    <row r="1277" spans="1:15" x14ac:dyDescent="0.25">
      <c r="A1277" s="6" t="s">
        <v>21</v>
      </c>
      <c r="B1277" s="7" t="s">
        <v>92</v>
      </c>
      <c r="C1277" s="6" t="s">
        <v>22</v>
      </c>
      <c r="D1277" s="7">
        <v>2020</v>
      </c>
      <c r="E1277" s="194" t="s">
        <v>20</v>
      </c>
      <c r="F1277" s="194"/>
      <c r="G1277" s="194"/>
      <c r="H1277" s="195" t="s">
        <v>124</v>
      </c>
      <c r="I1277" s="196"/>
      <c r="J1277" s="196"/>
      <c r="K1277" s="196"/>
      <c r="L1277" s="196"/>
      <c r="M1277" s="196"/>
      <c r="N1277" s="197"/>
      <c r="O1277" s="4"/>
    </row>
    <row r="1278" spans="1:15" x14ac:dyDescent="0.25">
      <c r="A1278" s="198" t="s">
        <v>48</v>
      </c>
      <c r="B1278" s="199"/>
      <c r="C1278" s="200"/>
      <c r="D1278" s="204" t="s">
        <v>49</v>
      </c>
      <c r="E1278" s="205"/>
      <c r="F1278" s="205"/>
      <c r="G1278" s="205"/>
      <c r="H1278" s="206"/>
      <c r="I1278" s="207" t="s">
        <v>50</v>
      </c>
      <c r="J1278" s="207"/>
      <c r="K1278" s="207"/>
      <c r="L1278" s="207"/>
      <c r="M1278" s="207"/>
      <c r="N1278" s="207"/>
      <c r="O1278" s="4"/>
    </row>
    <row r="1279" spans="1:15" ht="30" x14ac:dyDescent="0.25">
      <c r="A1279" s="201"/>
      <c r="B1279" s="202"/>
      <c r="C1279" s="203"/>
      <c r="D1279" s="8" t="s">
        <v>51</v>
      </c>
      <c r="E1279" s="8" t="s">
        <v>52</v>
      </c>
      <c r="F1279" s="8" t="s">
        <v>53</v>
      </c>
      <c r="G1279" s="8" t="s">
        <v>54</v>
      </c>
      <c r="H1279" s="8" t="s">
        <v>55</v>
      </c>
      <c r="I1279" s="33" t="s">
        <v>51</v>
      </c>
      <c r="J1279" s="33" t="s">
        <v>52</v>
      </c>
      <c r="K1279" s="33" t="s">
        <v>53</v>
      </c>
      <c r="L1279" s="33" t="s">
        <v>54</v>
      </c>
      <c r="M1279" s="201" t="s">
        <v>56</v>
      </c>
      <c r="N1279" s="203"/>
      <c r="O1279" s="4"/>
    </row>
    <row r="1280" spans="1:15" x14ac:dyDescent="0.25">
      <c r="A1280" s="181" t="s">
        <v>2</v>
      </c>
      <c r="B1280" s="182"/>
      <c r="C1280" s="183"/>
      <c r="D1280" s="9" t="s">
        <v>57</v>
      </c>
      <c r="E1280" s="9" t="s">
        <v>57</v>
      </c>
      <c r="F1280" s="9" t="s">
        <v>57</v>
      </c>
      <c r="G1280" s="9" t="s">
        <v>57</v>
      </c>
      <c r="H1280" s="9"/>
      <c r="I1280" s="15">
        <v>0</v>
      </c>
      <c r="J1280" s="15">
        <v>0</v>
      </c>
      <c r="K1280" s="15">
        <v>0</v>
      </c>
      <c r="L1280" s="15">
        <v>0</v>
      </c>
      <c r="M1280" s="190">
        <f>I1280+J1280+K1280+L1280</f>
        <v>0</v>
      </c>
      <c r="N1280" s="191"/>
      <c r="O1280" s="4"/>
    </row>
    <row r="1281" spans="1:15" x14ac:dyDescent="0.25">
      <c r="A1281" s="181" t="s">
        <v>3</v>
      </c>
      <c r="B1281" s="182"/>
      <c r="C1281" s="183"/>
      <c r="D1281" s="9" t="s">
        <v>57</v>
      </c>
      <c r="E1281" s="9" t="s">
        <v>57</v>
      </c>
      <c r="F1281" s="9" t="s">
        <v>57</v>
      </c>
      <c r="G1281" s="9" t="s">
        <v>57</v>
      </c>
      <c r="H1281" s="9"/>
      <c r="I1281" s="15">
        <v>0</v>
      </c>
      <c r="J1281" s="15">
        <v>0</v>
      </c>
      <c r="K1281" s="15">
        <v>0</v>
      </c>
      <c r="L1281" s="15">
        <v>0</v>
      </c>
      <c r="M1281" s="192">
        <f t="shared" ref="M1281:M1288" si="54">I1281+J1281+K1281+L1281</f>
        <v>0</v>
      </c>
      <c r="N1281" s="193"/>
      <c r="O1281" s="4"/>
    </row>
    <row r="1282" spans="1:15" x14ac:dyDescent="0.25">
      <c r="A1282" s="181" t="s">
        <v>4</v>
      </c>
      <c r="B1282" s="182"/>
      <c r="C1282" s="183"/>
      <c r="D1282" s="9" t="s">
        <v>57</v>
      </c>
      <c r="E1282" s="9" t="s">
        <v>57</v>
      </c>
      <c r="F1282" s="9" t="s">
        <v>57</v>
      </c>
      <c r="G1282" s="9" t="s">
        <v>57</v>
      </c>
      <c r="H1282" s="9"/>
      <c r="I1282" s="15">
        <v>0</v>
      </c>
      <c r="J1282" s="15">
        <v>0</v>
      </c>
      <c r="K1282" s="15">
        <v>0</v>
      </c>
      <c r="L1282" s="15">
        <v>0</v>
      </c>
      <c r="M1282" s="192">
        <f t="shared" si="54"/>
        <v>0</v>
      </c>
      <c r="N1282" s="193"/>
      <c r="O1282" s="4"/>
    </row>
    <row r="1283" spans="1:15" x14ac:dyDescent="0.25">
      <c r="A1283" s="181" t="s">
        <v>5</v>
      </c>
      <c r="B1283" s="182"/>
      <c r="C1283" s="183"/>
      <c r="D1283" s="9" t="s">
        <v>57</v>
      </c>
      <c r="E1283" s="9" t="s">
        <v>57</v>
      </c>
      <c r="F1283" s="9" t="s">
        <v>57</v>
      </c>
      <c r="G1283" s="9" t="s">
        <v>57</v>
      </c>
      <c r="H1283" s="9"/>
      <c r="I1283" s="15">
        <v>0</v>
      </c>
      <c r="J1283" s="15">
        <v>0</v>
      </c>
      <c r="K1283" s="15">
        <v>0</v>
      </c>
      <c r="L1283" s="15">
        <v>0</v>
      </c>
      <c r="M1283" s="192">
        <f t="shared" si="54"/>
        <v>0</v>
      </c>
      <c r="N1283" s="193"/>
      <c r="O1283" s="4"/>
    </row>
    <row r="1284" spans="1:15" x14ac:dyDescent="0.25">
      <c r="A1284" s="181" t="s">
        <v>6</v>
      </c>
      <c r="B1284" s="182"/>
      <c r="C1284" s="183"/>
      <c r="D1284" s="9" t="s">
        <v>57</v>
      </c>
      <c r="E1284" s="9" t="s">
        <v>57</v>
      </c>
      <c r="F1284" s="9" t="s">
        <v>57</v>
      </c>
      <c r="G1284" s="9" t="s">
        <v>57</v>
      </c>
      <c r="H1284" s="9"/>
      <c r="I1284" s="15">
        <v>0</v>
      </c>
      <c r="J1284" s="15">
        <v>0</v>
      </c>
      <c r="K1284" s="15">
        <v>0</v>
      </c>
      <c r="L1284" s="15">
        <v>0</v>
      </c>
      <c r="M1284" s="192">
        <f t="shared" si="54"/>
        <v>0</v>
      </c>
      <c r="N1284" s="193"/>
      <c r="O1284" s="4"/>
    </row>
    <row r="1285" spans="1:15" x14ac:dyDescent="0.25">
      <c r="A1285" s="181" t="s">
        <v>8</v>
      </c>
      <c r="B1285" s="182"/>
      <c r="C1285" s="183"/>
      <c r="D1285" s="9" t="s">
        <v>57</v>
      </c>
      <c r="E1285" s="9" t="s">
        <v>57</v>
      </c>
      <c r="F1285" s="9" t="s">
        <v>57</v>
      </c>
      <c r="G1285" s="9" t="s">
        <v>57</v>
      </c>
      <c r="H1285" s="9"/>
      <c r="I1285" s="15">
        <v>0</v>
      </c>
      <c r="J1285" s="15">
        <v>0</v>
      </c>
      <c r="K1285" s="15">
        <v>0</v>
      </c>
      <c r="L1285" s="15">
        <v>0</v>
      </c>
      <c r="M1285" s="192">
        <f t="shared" si="54"/>
        <v>0</v>
      </c>
      <c r="N1285" s="193"/>
      <c r="O1285" s="4"/>
    </row>
    <row r="1286" spans="1:15" x14ac:dyDescent="0.25">
      <c r="A1286" s="181" t="s">
        <v>38</v>
      </c>
      <c r="B1286" s="182"/>
      <c r="C1286" s="183"/>
      <c r="D1286" s="9" t="s">
        <v>57</v>
      </c>
      <c r="E1286" s="9" t="s">
        <v>57</v>
      </c>
      <c r="F1286" s="9" t="s">
        <v>57</v>
      </c>
      <c r="G1286" s="9" t="s">
        <v>57</v>
      </c>
      <c r="H1286" s="9"/>
      <c r="I1286" s="15">
        <v>0</v>
      </c>
      <c r="J1286" s="15">
        <v>0</v>
      </c>
      <c r="K1286" s="15">
        <v>0</v>
      </c>
      <c r="L1286" s="15">
        <v>0</v>
      </c>
      <c r="M1286" s="192">
        <f t="shared" si="54"/>
        <v>0</v>
      </c>
      <c r="N1286" s="193"/>
      <c r="O1286" s="4"/>
    </row>
    <row r="1287" spans="1:15" x14ac:dyDescent="0.25">
      <c r="A1287" s="181" t="s">
        <v>7</v>
      </c>
      <c r="B1287" s="182"/>
      <c r="C1287" s="183"/>
      <c r="D1287" s="9" t="s">
        <v>57</v>
      </c>
      <c r="E1287" s="9" t="s">
        <v>57</v>
      </c>
      <c r="F1287" s="9" t="s">
        <v>57</v>
      </c>
      <c r="G1287" s="9" t="s">
        <v>57</v>
      </c>
      <c r="H1287" s="9"/>
      <c r="I1287" s="15">
        <v>0</v>
      </c>
      <c r="J1287" s="15">
        <v>0</v>
      </c>
      <c r="K1287" s="15">
        <v>0</v>
      </c>
      <c r="L1287" s="15">
        <v>0</v>
      </c>
      <c r="M1287" s="192">
        <f t="shared" si="54"/>
        <v>0</v>
      </c>
      <c r="N1287" s="193"/>
      <c r="O1287" s="4"/>
    </row>
    <row r="1288" spans="1:15" x14ac:dyDescent="0.25">
      <c r="A1288" s="181" t="s">
        <v>90</v>
      </c>
      <c r="B1288" s="182"/>
      <c r="C1288" s="183"/>
      <c r="D1288" s="9" t="s">
        <v>57</v>
      </c>
      <c r="E1288" s="9" t="s">
        <v>57</v>
      </c>
      <c r="F1288" s="9" t="s">
        <v>57</v>
      </c>
      <c r="G1288" s="9" t="s">
        <v>57</v>
      </c>
      <c r="H1288" s="9"/>
      <c r="I1288" s="15">
        <v>0</v>
      </c>
      <c r="J1288" s="15">
        <v>0</v>
      </c>
      <c r="K1288" s="15">
        <v>0</v>
      </c>
      <c r="L1288" s="15">
        <v>0</v>
      </c>
      <c r="M1288" s="188">
        <f t="shared" si="54"/>
        <v>0</v>
      </c>
      <c r="N1288" s="189"/>
      <c r="O1288" s="4"/>
    </row>
    <row r="1289" spans="1:15" x14ac:dyDescent="0.25">
      <c r="O1289" s="4"/>
    </row>
    <row r="1290" spans="1:15" ht="15.75" x14ac:dyDescent="0.25">
      <c r="A1290" s="177" t="s">
        <v>58</v>
      </c>
      <c r="B1290" s="177"/>
      <c r="C1290" s="177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4"/>
    </row>
    <row r="1291" spans="1:15" x14ac:dyDescent="0.25">
      <c r="A1291" s="178"/>
      <c r="B1291" s="179"/>
      <c r="C1291" s="179"/>
      <c r="D1291" s="179"/>
      <c r="E1291" s="179"/>
      <c r="F1291" s="179"/>
      <c r="G1291" s="179"/>
      <c r="H1291" s="179"/>
      <c r="I1291" s="179"/>
      <c r="J1291" s="179"/>
      <c r="K1291" s="179"/>
      <c r="L1291" s="179"/>
      <c r="M1291" s="179"/>
      <c r="N1291" s="180"/>
      <c r="O1291" s="10">
        <f>A1291</f>
        <v>0</v>
      </c>
    </row>
    <row r="1292" spans="1:15" x14ac:dyDescent="0.25">
      <c r="A1292" s="174" t="s">
        <v>59</v>
      </c>
      <c r="B1292" s="174"/>
      <c r="C1292" s="174"/>
      <c r="D1292" s="174"/>
      <c r="E1292" s="174"/>
      <c r="F1292" s="174"/>
      <c r="G1292" s="174"/>
      <c r="H1292" s="174"/>
      <c r="I1292" s="174"/>
      <c r="J1292" s="174"/>
      <c r="K1292" s="174"/>
      <c r="L1292" s="174"/>
      <c r="M1292" s="174"/>
      <c r="N1292" s="174"/>
      <c r="O1292" s="10"/>
    </row>
    <row r="1293" spans="1:15" x14ac:dyDescent="0.25">
      <c r="A1293" s="178"/>
      <c r="B1293" s="179"/>
      <c r="C1293" s="179"/>
      <c r="D1293" s="179"/>
      <c r="E1293" s="179"/>
      <c r="F1293" s="179"/>
      <c r="G1293" s="179"/>
      <c r="H1293" s="179"/>
      <c r="I1293" s="179"/>
      <c r="J1293" s="179"/>
      <c r="K1293" s="179"/>
      <c r="L1293" s="179"/>
      <c r="M1293" s="179"/>
      <c r="N1293" s="180"/>
      <c r="O1293" s="10">
        <f t="shared" ref="O1293:O1314" si="55">A1293</f>
        <v>0</v>
      </c>
    </row>
    <row r="1294" spans="1:15" x14ac:dyDescent="0.25">
      <c r="A1294" s="176" t="s">
        <v>60</v>
      </c>
      <c r="B1294" s="176"/>
      <c r="C1294" s="176"/>
      <c r="D1294" s="176"/>
      <c r="E1294" s="176"/>
      <c r="F1294" s="176"/>
      <c r="G1294" s="176"/>
      <c r="H1294" s="176"/>
      <c r="I1294" s="176"/>
      <c r="J1294" s="176"/>
      <c r="K1294" s="176"/>
      <c r="L1294" s="176"/>
      <c r="M1294" s="176" t="s">
        <v>61</v>
      </c>
      <c r="N1294" s="176"/>
      <c r="O1294" s="10"/>
    </row>
    <row r="1295" spans="1:15" x14ac:dyDescent="0.25">
      <c r="A1295" s="176" t="s">
        <v>62</v>
      </c>
      <c r="B1295" s="176"/>
      <c r="C1295" s="176"/>
      <c r="D1295" s="176"/>
      <c r="E1295" s="176"/>
      <c r="F1295" s="176"/>
      <c r="G1295" s="176"/>
      <c r="H1295" s="176"/>
      <c r="I1295" s="176"/>
      <c r="J1295" s="176"/>
      <c r="K1295" s="176"/>
      <c r="L1295" s="176"/>
      <c r="M1295" s="176" t="s">
        <v>61</v>
      </c>
      <c r="N1295" s="176"/>
      <c r="O1295" s="10"/>
    </row>
    <row r="1296" spans="1:15" x14ac:dyDescent="0.25">
      <c r="O1296" s="10"/>
    </row>
    <row r="1297" spans="1:15" ht="15.75" x14ac:dyDescent="0.25">
      <c r="A1297" s="184" t="s">
        <v>63</v>
      </c>
      <c r="B1297" s="185"/>
      <c r="C1297" s="185"/>
      <c r="D1297" s="185"/>
      <c r="E1297" s="185"/>
      <c r="F1297" s="185"/>
      <c r="G1297" s="185"/>
      <c r="H1297" s="185"/>
      <c r="I1297" s="185"/>
      <c r="J1297" s="185"/>
      <c r="K1297" s="185"/>
      <c r="L1297" s="185"/>
      <c r="M1297" s="185"/>
      <c r="N1297" s="186"/>
      <c r="O1297" s="10"/>
    </row>
    <row r="1298" spans="1:15" x14ac:dyDescent="0.25">
      <c r="A1298" s="178"/>
      <c r="B1298" s="179"/>
      <c r="C1298" s="179"/>
      <c r="D1298" s="179"/>
      <c r="E1298" s="179"/>
      <c r="F1298" s="179"/>
      <c r="G1298" s="179"/>
      <c r="H1298" s="179"/>
      <c r="I1298" s="179"/>
      <c r="J1298" s="179"/>
      <c r="K1298" s="179"/>
      <c r="L1298" s="179"/>
      <c r="M1298" s="179"/>
      <c r="N1298" s="179"/>
      <c r="O1298" s="10">
        <f t="shared" si="55"/>
        <v>0</v>
      </c>
    </row>
    <row r="1299" spans="1:15" x14ac:dyDescent="0.25">
      <c r="A1299" s="174" t="s">
        <v>64</v>
      </c>
      <c r="B1299" s="174"/>
      <c r="C1299" s="174"/>
      <c r="D1299" s="174"/>
      <c r="E1299" s="174"/>
      <c r="F1299" s="174"/>
      <c r="G1299" s="174"/>
      <c r="H1299" s="174"/>
      <c r="I1299" s="174"/>
      <c r="J1299" s="174"/>
      <c r="K1299" s="174"/>
      <c r="L1299" s="174"/>
      <c r="M1299" s="174"/>
      <c r="N1299" s="174"/>
      <c r="O1299" s="10"/>
    </row>
    <row r="1300" spans="1:15" x14ac:dyDescent="0.25">
      <c r="A1300" s="178"/>
      <c r="B1300" s="179"/>
      <c r="C1300" s="179"/>
      <c r="D1300" s="179"/>
      <c r="E1300" s="179"/>
      <c r="F1300" s="179"/>
      <c r="G1300" s="179"/>
      <c r="H1300" s="179"/>
      <c r="I1300" s="179"/>
      <c r="J1300" s="179"/>
      <c r="K1300" s="179"/>
      <c r="L1300" s="179"/>
      <c r="M1300" s="179"/>
      <c r="N1300" s="180"/>
      <c r="O1300" s="10">
        <f t="shared" si="55"/>
        <v>0</v>
      </c>
    </row>
    <row r="1301" spans="1:15" x14ac:dyDescent="0.25">
      <c r="A1301" s="176" t="s">
        <v>60</v>
      </c>
      <c r="B1301" s="176"/>
      <c r="C1301" s="176"/>
      <c r="D1301" s="176"/>
      <c r="E1301" s="176"/>
      <c r="F1301" s="176"/>
      <c r="G1301" s="176"/>
      <c r="H1301" s="176"/>
      <c r="I1301" s="176"/>
      <c r="J1301" s="176"/>
      <c r="K1301" s="176"/>
      <c r="L1301" s="176"/>
      <c r="M1301" s="176" t="s">
        <v>61</v>
      </c>
      <c r="N1301" s="176"/>
      <c r="O1301" s="10"/>
    </row>
    <row r="1302" spans="1:15" x14ac:dyDescent="0.25">
      <c r="A1302" s="176" t="s">
        <v>62</v>
      </c>
      <c r="B1302" s="176"/>
      <c r="C1302" s="176"/>
      <c r="D1302" s="176"/>
      <c r="E1302" s="176"/>
      <c r="F1302" s="176"/>
      <c r="G1302" s="176"/>
      <c r="H1302" s="176"/>
      <c r="I1302" s="176"/>
      <c r="J1302" s="176"/>
      <c r="K1302" s="176"/>
      <c r="L1302" s="176"/>
      <c r="M1302" s="176" t="s">
        <v>61</v>
      </c>
      <c r="N1302" s="176"/>
      <c r="O1302" s="10"/>
    </row>
    <row r="1303" spans="1:15" x14ac:dyDescent="0.25">
      <c r="O1303" s="10"/>
    </row>
    <row r="1304" spans="1:15" ht="15.75" x14ac:dyDescent="0.25">
      <c r="A1304" s="177" t="s">
        <v>65</v>
      </c>
      <c r="B1304" s="177"/>
      <c r="C1304" s="177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0"/>
    </row>
    <row r="1305" spans="1:15" x14ac:dyDescent="0.25">
      <c r="A1305" s="178"/>
      <c r="B1305" s="179"/>
      <c r="C1305" s="179"/>
      <c r="D1305" s="179"/>
      <c r="E1305" s="179"/>
      <c r="F1305" s="179"/>
      <c r="G1305" s="179"/>
      <c r="H1305" s="179"/>
      <c r="I1305" s="179"/>
      <c r="J1305" s="179"/>
      <c r="K1305" s="179"/>
      <c r="L1305" s="179"/>
      <c r="M1305" s="179"/>
      <c r="N1305" s="180"/>
      <c r="O1305" s="10">
        <f t="shared" si="55"/>
        <v>0</v>
      </c>
    </row>
    <row r="1306" spans="1:15" x14ac:dyDescent="0.25">
      <c r="A1306" s="174" t="s">
        <v>66</v>
      </c>
      <c r="B1306" s="174"/>
      <c r="C1306" s="174"/>
      <c r="D1306" s="174"/>
      <c r="E1306" s="174"/>
      <c r="F1306" s="174"/>
      <c r="G1306" s="174"/>
      <c r="H1306" s="174"/>
      <c r="I1306" s="174"/>
      <c r="J1306" s="174"/>
      <c r="K1306" s="174"/>
      <c r="L1306" s="174"/>
      <c r="M1306" s="174"/>
      <c r="N1306" s="174"/>
      <c r="O1306" s="10"/>
    </row>
    <row r="1307" spans="1:15" x14ac:dyDescent="0.25">
      <c r="A1307" s="178"/>
      <c r="B1307" s="179"/>
      <c r="C1307" s="179"/>
      <c r="D1307" s="179"/>
      <c r="E1307" s="179"/>
      <c r="F1307" s="179"/>
      <c r="G1307" s="179"/>
      <c r="H1307" s="179"/>
      <c r="I1307" s="179"/>
      <c r="J1307" s="179"/>
      <c r="K1307" s="179"/>
      <c r="L1307" s="179"/>
      <c r="M1307" s="179"/>
      <c r="N1307" s="180"/>
      <c r="O1307" s="10">
        <f t="shared" si="55"/>
        <v>0</v>
      </c>
    </row>
    <row r="1308" spans="1:15" x14ac:dyDescent="0.25">
      <c r="A1308" s="187" t="s">
        <v>60</v>
      </c>
      <c r="B1308" s="187"/>
      <c r="C1308" s="187"/>
      <c r="D1308" s="187"/>
      <c r="E1308" s="187"/>
      <c r="F1308" s="187"/>
      <c r="G1308" s="187"/>
      <c r="H1308" s="187"/>
      <c r="I1308" s="187"/>
      <c r="J1308" s="187"/>
      <c r="K1308" s="187"/>
      <c r="L1308" s="187"/>
      <c r="M1308" s="176" t="s">
        <v>61</v>
      </c>
      <c r="N1308" s="176"/>
      <c r="O1308" s="10"/>
    </row>
    <row r="1309" spans="1:15" x14ac:dyDescent="0.25">
      <c r="A1309" s="187" t="s">
        <v>62</v>
      </c>
      <c r="B1309" s="187"/>
      <c r="C1309" s="187"/>
      <c r="D1309" s="187"/>
      <c r="E1309" s="187"/>
      <c r="F1309" s="187"/>
      <c r="G1309" s="187"/>
      <c r="H1309" s="187"/>
      <c r="I1309" s="187"/>
      <c r="J1309" s="187"/>
      <c r="K1309" s="187"/>
      <c r="L1309" s="187"/>
      <c r="M1309" s="176" t="s">
        <v>61</v>
      </c>
      <c r="N1309" s="176"/>
      <c r="O1309" s="10"/>
    </row>
    <row r="1310" spans="1:15" x14ac:dyDescent="0.25">
      <c r="O1310" s="10"/>
    </row>
    <row r="1311" spans="1:15" ht="15.75" x14ac:dyDescent="0.25">
      <c r="A1311" s="184" t="s">
        <v>67</v>
      </c>
      <c r="B1311" s="185"/>
      <c r="C1311" s="185"/>
      <c r="D1311" s="185"/>
      <c r="E1311" s="185"/>
      <c r="F1311" s="185"/>
      <c r="G1311" s="185"/>
      <c r="H1311" s="185"/>
      <c r="I1311" s="185"/>
      <c r="J1311" s="185"/>
      <c r="K1311" s="185"/>
      <c r="L1311" s="185"/>
      <c r="M1311" s="185"/>
      <c r="N1311" s="186"/>
      <c r="O1311" s="10"/>
    </row>
    <row r="1312" spans="1:15" x14ac:dyDescent="0.25">
      <c r="A1312" s="178"/>
      <c r="B1312" s="179"/>
      <c r="C1312" s="179"/>
      <c r="D1312" s="179"/>
      <c r="E1312" s="179"/>
      <c r="F1312" s="179"/>
      <c r="G1312" s="179"/>
      <c r="H1312" s="179"/>
      <c r="I1312" s="179"/>
      <c r="J1312" s="179"/>
      <c r="K1312" s="179"/>
      <c r="L1312" s="179"/>
      <c r="M1312" s="179"/>
      <c r="N1312" s="180"/>
      <c r="O1312" s="10">
        <f t="shared" si="55"/>
        <v>0</v>
      </c>
    </row>
    <row r="1313" spans="1:15" x14ac:dyDescent="0.25">
      <c r="A1313" s="174" t="s">
        <v>68</v>
      </c>
      <c r="B1313" s="174"/>
      <c r="C1313" s="174"/>
      <c r="D1313" s="174"/>
      <c r="E1313" s="174"/>
      <c r="F1313" s="174"/>
      <c r="G1313" s="174"/>
      <c r="H1313" s="174"/>
      <c r="I1313" s="174"/>
      <c r="J1313" s="174"/>
      <c r="K1313" s="174"/>
      <c r="L1313" s="174"/>
      <c r="M1313" s="174"/>
      <c r="N1313" s="174"/>
      <c r="O1313" s="10"/>
    </row>
    <row r="1314" spans="1:15" x14ac:dyDescent="0.25">
      <c r="A1314" s="178"/>
      <c r="B1314" s="179"/>
      <c r="C1314" s="179"/>
      <c r="D1314" s="179"/>
      <c r="E1314" s="179"/>
      <c r="F1314" s="179"/>
      <c r="G1314" s="179"/>
      <c r="H1314" s="179"/>
      <c r="I1314" s="179"/>
      <c r="J1314" s="179"/>
      <c r="K1314" s="179"/>
      <c r="L1314" s="179"/>
      <c r="M1314" s="179"/>
      <c r="N1314" s="180"/>
      <c r="O1314" s="10">
        <f t="shared" si="55"/>
        <v>0</v>
      </c>
    </row>
    <row r="1315" spans="1:15" x14ac:dyDescent="0.25">
      <c r="A1315" s="176" t="s">
        <v>60</v>
      </c>
      <c r="B1315" s="176"/>
      <c r="C1315" s="176"/>
      <c r="D1315" s="176"/>
      <c r="E1315" s="176"/>
      <c r="F1315" s="176"/>
      <c r="G1315" s="176"/>
      <c r="H1315" s="176"/>
      <c r="I1315" s="176"/>
      <c r="J1315" s="176"/>
      <c r="K1315" s="176"/>
      <c r="L1315" s="176"/>
      <c r="M1315" s="176" t="s">
        <v>61</v>
      </c>
      <c r="N1315" s="176"/>
      <c r="O1315" s="10"/>
    </row>
    <row r="1316" spans="1:15" x14ac:dyDescent="0.25">
      <c r="A1316" s="176" t="s">
        <v>62</v>
      </c>
      <c r="B1316" s="176"/>
      <c r="C1316" s="176"/>
      <c r="D1316" s="176"/>
      <c r="E1316" s="176"/>
      <c r="F1316" s="176"/>
      <c r="G1316" s="176"/>
      <c r="H1316" s="176"/>
      <c r="I1316" s="176"/>
      <c r="J1316" s="176"/>
      <c r="K1316" s="176"/>
      <c r="L1316" s="176"/>
      <c r="M1316" s="176" t="s">
        <v>61</v>
      </c>
      <c r="N1316" s="176"/>
      <c r="O1316" s="10"/>
    </row>
    <row r="1317" spans="1:15" x14ac:dyDescent="0.25">
      <c r="A1317" s="209" t="s">
        <v>91</v>
      </c>
      <c r="B1317" s="209"/>
      <c r="C1317" s="209"/>
      <c r="D1317" s="209"/>
      <c r="E1317" s="209"/>
      <c r="F1317" s="209"/>
      <c r="G1317" s="209"/>
      <c r="H1317" s="209"/>
      <c r="I1317" s="209"/>
      <c r="J1317" s="209"/>
      <c r="K1317" s="209"/>
      <c r="L1317" s="209"/>
      <c r="M1317" s="209"/>
      <c r="N1317" s="209"/>
      <c r="O1317" s="4"/>
    </row>
    <row r="1318" spans="1:15" x14ac:dyDescent="0.25">
      <c r="A1318" s="209" t="s">
        <v>89</v>
      </c>
      <c r="B1318" s="209"/>
      <c r="C1318" s="209"/>
      <c r="D1318" s="209"/>
      <c r="E1318" s="209"/>
      <c r="F1318" s="209"/>
      <c r="G1318" s="209"/>
      <c r="H1318" s="209"/>
      <c r="I1318" s="209"/>
      <c r="J1318" s="209"/>
      <c r="K1318" s="209"/>
      <c r="L1318" s="209"/>
      <c r="M1318" s="209"/>
      <c r="N1318" s="209"/>
      <c r="O1318" s="4"/>
    </row>
    <row r="1319" spans="1:15" x14ac:dyDescent="0.25">
      <c r="A1319" s="209" t="s">
        <v>44</v>
      </c>
      <c r="B1319" s="209"/>
      <c r="C1319" s="209"/>
      <c r="D1319" s="209"/>
      <c r="E1319" s="209"/>
      <c r="F1319" s="209"/>
      <c r="G1319" s="209"/>
      <c r="H1319" s="209"/>
      <c r="I1319" s="209"/>
      <c r="J1319" s="209"/>
      <c r="K1319" s="209"/>
      <c r="L1319" s="209"/>
      <c r="M1319" s="209"/>
      <c r="N1319" s="209"/>
      <c r="O1319" s="4"/>
    </row>
    <row r="1320" spans="1:15" ht="15.75" x14ac:dyDescent="0.25">
      <c r="A1320" s="210" t="s">
        <v>72</v>
      </c>
      <c r="B1320" s="210"/>
      <c r="C1320" s="210"/>
      <c r="D1320" s="210"/>
      <c r="E1320" s="210"/>
      <c r="F1320" s="210"/>
      <c r="G1320" s="210"/>
      <c r="H1320" s="210"/>
      <c r="I1320" s="210"/>
      <c r="J1320" s="210"/>
      <c r="K1320" s="210"/>
      <c r="L1320" s="210"/>
      <c r="M1320" s="210"/>
      <c r="N1320" s="210"/>
      <c r="O1320" s="4"/>
    </row>
    <row r="1321" spans="1:15" ht="15.75" x14ac:dyDescent="0.25">
      <c r="A1321" s="211" t="s">
        <v>125</v>
      </c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211"/>
      <c r="N1321" s="211"/>
      <c r="O1321" s="4"/>
    </row>
    <row r="1322" spans="1:15" ht="15.75" x14ac:dyDescent="0.25">
      <c r="A1322" s="5" t="s">
        <v>46</v>
      </c>
      <c r="B1322" s="208" t="s">
        <v>123</v>
      </c>
      <c r="C1322" s="208"/>
      <c r="D1322" s="208"/>
      <c r="E1322" s="208"/>
      <c r="F1322" s="208"/>
      <c r="G1322" s="208"/>
      <c r="H1322" s="208"/>
      <c r="I1322" s="208"/>
      <c r="J1322" s="208"/>
      <c r="K1322" s="208"/>
      <c r="L1322" s="208"/>
      <c r="M1322" s="208"/>
      <c r="N1322" s="208"/>
      <c r="O1322" s="4"/>
    </row>
    <row r="1323" spans="1:15" ht="15.75" x14ac:dyDescent="0.25">
      <c r="A1323" s="5" t="s">
        <v>47</v>
      </c>
      <c r="B1323" s="175" t="s">
        <v>121</v>
      </c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4" t="s">
        <v>74</v>
      </c>
      <c r="M1323" s="174"/>
      <c r="N1323" s="34">
        <v>43259.854114857313</v>
      </c>
      <c r="O1323" s="4"/>
    </row>
    <row r="1324" spans="1:15" x14ac:dyDescent="0.25">
      <c r="A1324" s="6" t="s">
        <v>21</v>
      </c>
      <c r="B1324" s="7" t="s">
        <v>92</v>
      </c>
      <c r="C1324" s="6" t="s">
        <v>22</v>
      </c>
      <c r="D1324" s="7">
        <v>2020</v>
      </c>
      <c r="E1324" s="194" t="s">
        <v>20</v>
      </c>
      <c r="F1324" s="194"/>
      <c r="G1324" s="194"/>
      <c r="H1324" s="195" t="s">
        <v>124</v>
      </c>
      <c r="I1324" s="196"/>
      <c r="J1324" s="196"/>
      <c r="K1324" s="196"/>
      <c r="L1324" s="196"/>
      <c r="M1324" s="196"/>
      <c r="N1324" s="197"/>
      <c r="O1324" s="4"/>
    </row>
    <row r="1325" spans="1:15" x14ac:dyDescent="0.25">
      <c r="A1325" s="198" t="s">
        <v>48</v>
      </c>
      <c r="B1325" s="199"/>
      <c r="C1325" s="200"/>
      <c r="D1325" s="204" t="s">
        <v>49</v>
      </c>
      <c r="E1325" s="205"/>
      <c r="F1325" s="205"/>
      <c r="G1325" s="205"/>
      <c r="H1325" s="206"/>
      <c r="I1325" s="207" t="s">
        <v>50</v>
      </c>
      <c r="J1325" s="207"/>
      <c r="K1325" s="207"/>
      <c r="L1325" s="207"/>
      <c r="M1325" s="207"/>
      <c r="N1325" s="207"/>
      <c r="O1325" s="4"/>
    </row>
    <row r="1326" spans="1:15" ht="30" x14ac:dyDescent="0.25">
      <c r="A1326" s="201"/>
      <c r="B1326" s="202"/>
      <c r="C1326" s="203"/>
      <c r="D1326" s="8" t="s">
        <v>51</v>
      </c>
      <c r="E1326" s="8" t="s">
        <v>52</v>
      </c>
      <c r="F1326" s="8" t="s">
        <v>53</v>
      </c>
      <c r="G1326" s="8" t="s">
        <v>54</v>
      </c>
      <c r="H1326" s="8" t="s">
        <v>55</v>
      </c>
      <c r="I1326" s="33" t="s">
        <v>51</v>
      </c>
      <c r="J1326" s="33" t="s">
        <v>52</v>
      </c>
      <c r="K1326" s="33" t="s">
        <v>53</v>
      </c>
      <c r="L1326" s="33" t="s">
        <v>54</v>
      </c>
      <c r="M1326" s="201" t="s">
        <v>56</v>
      </c>
      <c r="N1326" s="203"/>
      <c r="O1326" s="4"/>
    </row>
    <row r="1327" spans="1:15" x14ac:dyDescent="0.25">
      <c r="A1327" s="181" t="s">
        <v>2</v>
      </c>
      <c r="B1327" s="182"/>
      <c r="C1327" s="183"/>
      <c r="D1327" s="9" t="s">
        <v>57</v>
      </c>
      <c r="E1327" s="9" t="s">
        <v>57</v>
      </c>
      <c r="F1327" s="9" t="s">
        <v>57</v>
      </c>
      <c r="G1327" s="9" t="s">
        <v>57</v>
      </c>
      <c r="H1327" s="9"/>
      <c r="I1327" s="15">
        <v>0</v>
      </c>
      <c r="J1327" s="15">
        <v>0</v>
      </c>
      <c r="K1327" s="15">
        <v>0</v>
      </c>
      <c r="L1327" s="15">
        <v>0</v>
      </c>
      <c r="M1327" s="190">
        <f>I1327+J1327+K1327+L1327</f>
        <v>0</v>
      </c>
      <c r="N1327" s="191"/>
      <c r="O1327" s="4"/>
    </row>
    <row r="1328" spans="1:15" x14ac:dyDescent="0.25">
      <c r="A1328" s="181" t="s">
        <v>3</v>
      </c>
      <c r="B1328" s="182"/>
      <c r="C1328" s="183"/>
      <c r="D1328" s="9" t="s">
        <v>57</v>
      </c>
      <c r="E1328" s="9" t="s">
        <v>57</v>
      </c>
      <c r="F1328" s="9" t="s">
        <v>57</v>
      </c>
      <c r="G1328" s="9" t="s">
        <v>57</v>
      </c>
      <c r="H1328" s="9"/>
      <c r="I1328" s="15">
        <v>0</v>
      </c>
      <c r="J1328" s="15">
        <v>0</v>
      </c>
      <c r="K1328" s="15">
        <v>0</v>
      </c>
      <c r="L1328" s="15">
        <v>0</v>
      </c>
      <c r="M1328" s="192">
        <f t="shared" ref="M1328:M1335" si="56">I1328+J1328+K1328+L1328</f>
        <v>0</v>
      </c>
      <c r="N1328" s="193"/>
      <c r="O1328" s="4"/>
    </row>
    <row r="1329" spans="1:15" x14ac:dyDescent="0.25">
      <c r="A1329" s="181" t="s">
        <v>4</v>
      </c>
      <c r="B1329" s="182"/>
      <c r="C1329" s="183"/>
      <c r="D1329" s="9" t="s">
        <v>57</v>
      </c>
      <c r="E1329" s="9" t="s">
        <v>57</v>
      </c>
      <c r="F1329" s="9" t="s">
        <v>57</v>
      </c>
      <c r="G1329" s="9" t="s">
        <v>57</v>
      </c>
      <c r="H1329" s="9"/>
      <c r="I1329" s="15">
        <v>0</v>
      </c>
      <c r="J1329" s="15">
        <v>0</v>
      </c>
      <c r="K1329" s="15">
        <v>0</v>
      </c>
      <c r="L1329" s="15">
        <v>0</v>
      </c>
      <c r="M1329" s="192">
        <f t="shared" si="56"/>
        <v>0</v>
      </c>
      <c r="N1329" s="193"/>
      <c r="O1329" s="4"/>
    </row>
    <row r="1330" spans="1:15" x14ac:dyDescent="0.25">
      <c r="A1330" s="181" t="s">
        <v>5</v>
      </c>
      <c r="B1330" s="182"/>
      <c r="C1330" s="183"/>
      <c r="D1330" s="9" t="s">
        <v>57</v>
      </c>
      <c r="E1330" s="9" t="s">
        <v>57</v>
      </c>
      <c r="F1330" s="9" t="s">
        <v>57</v>
      </c>
      <c r="G1330" s="9" t="s">
        <v>57</v>
      </c>
      <c r="H1330" s="9"/>
      <c r="I1330" s="15">
        <v>0</v>
      </c>
      <c r="J1330" s="15">
        <v>0</v>
      </c>
      <c r="K1330" s="15">
        <v>0</v>
      </c>
      <c r="L1330" s="15">
        <v>0</v>
      </c>
      <c r="M1330" s="192">
        <f t="shared" si="56"/>
        <v>0</v>
      </c>
      <c r="N1330" s="193"/>
      <c r="O1330" s="4"/>
    </row>
    <row r="1331" spans="1:15" x14ac:dyDescent="0.25">
      <c r="A1331" s="181" t="s">
        <v>6</v>
      </c>
      <c r="B1331" s="182"/>
      <c r="C1331" s="183"/>
      <c r="D1331" s="9" t="s">
        <v>57</v>
      </c>
      <c r="E1331" s="9" t="s">
        <v>57</v>
      </c>
      <c r="F1331" s="9" t="s">
        <v>57</v>
      </c>
      <c r="G1331" s="9" t="s">
        <v>57</v>
      </c>
      <c r="H1331" s="9"/>
      <c r="I1331" s="15">
        <v>0</v>
      </c>
      <c r="J1331" s="15">
        <v>0</v>
      </c>
      <c r="K1331" s="15">
        <v>0</v>
      </c>
      <c r="L1331" s="15">
        <v>0</v>
      </c>
      <c r="M1331" s="192">
        <f t="shared" si="56"/>
        <v>0</v>
      </c>
      <c r="N1331" s="193"/>
      <c r="O1331" s="4"/>
    </row>
    <row r="1332" spans="1:15" x14ac:dyDescent="0.25">
      <c r="A1332" s="181" t="s">
        <v>8</v>
      </c>
      <c r="B1332" s="182"/>
      <c r="C1332" s="183"/>
      <c r="D1332" s="9" t="s">
        <v>57</v>
      </c>
      <c r="E1332" s="9" t="s">
        <v>57</v>
      </c>
      <c r="F1332" s="9" t="s">
        <v>57</v>
      </c>
      <c r="G1332" s="9" t="s">
        <v>57</v>
      </c>
      <c r="H1332" s="9"/>
      <c r="I1332" s="15">
        <v>0</v>
      </c>
      <c r="J1332" s="15">
        <v>0</v>
      </c>
      <c r="K1332" s="15">
        <v>0</v>
      </c>
      <c r="L1332" s="15">
        <v>0</v>
      </c>
      <c r="M1332" s="192">
        <f t="shared" si="56"/>
        <v>0</v>
      </c>
      <c r="N1332" s="193"/>
      <c r="O1332" s="4"/>
    </row>
    <row r="1333" spans="1:15" x14ac:dyDescent="0.25">
      <c r="A1333" s="181" t="s">
        <v>38</v>
      </c>
      <c r="B1333" s="182"/>
      <c r="C1333" s="183"/>
      <c r="D1333" s="9" t="s">
        <v>57</v>
      </c>
      <c r="E1333" s="9" t="s">
        <v>57</v>
      </c>
      <c r="F1333" s="9" t="s">
        <v>57</v>
      </c>
      <c r="G1333" s="9" t="s">
        <v>57</v>
      </c>
      <c r="H1333" s="9"/>
      <c r="I1333" s="15">
        <v>0</v>
      </c>
      <c r="J1333" s="15">
        <v>0</v>
      </c>
      <c r="K1333" s="15">
        <v>0</v>
      </c>
      <c r="L1333" s="15">
        <v>0</v>
      </c>
      <c r="M1333" s="192">
        <f t="shared" si="56"/>
        <v>0</v>
      </c>
      <c r="N1333" s="193"/>
      <c r="O1333" s="4"/>
    </row>
    <row r="1334" spans="1:15" x14ac:dyDescent="0.25">
      <c r="A1334" s="181" t="s">
        <v>7</v>
      </c>
      <c r="B1334" s="182"/>
      <c r="C1334" s="183"/>
      <c r="D1334" s="9" t="s">
        <v>57</v>
      </c>
      <c r="E1334" s="9" t="s">
        <v>57</v>
      </c>
      <c r="F1334" s="9" t="s">
        <v>57</v>
      </c>
      <c r="G1334" s="9" t="s">
        <v>57</v>
      </c>
      <c r="H1334" s="9"/>
      <c r="I1334" s="15">
        <v>0</v>
      </c>
      <c r="J1334" s="15">
        <v>0</v>
      </c>
      <c r="K1334" s="15">
        <v>0</v>
      </c>
      <c r="L1334" s="15">
        <v>0</v>
      </c>
      <c r="M1334" s="192">
        <f t="shared" si="56"/>
        <v>0</v>
      </c>
      <c r="N1334" s="193"/>
      <c r="O1334" s="4"/>
    </row>
    <row r="1335" spans="1:15" x14ac:dyDescent="0.25">
      <c r="A1335" s="181" t="s">
        <v>90</v>
      </c>
      <c r="B1335" s="182"/>
      <c r="C1335" s="183"/>
      <c r="D1335" s="9" t="s">
        <v>57</v>
      </c>
      <c r="E1335" s="9" t="s">
        <v>57</v>
      </c>
      <c r="F1335" s="9" t="s">
        <v>57</v>
      </c>
      <c r="G1335" s="9" t="s">
        <v>57</v>
      </c>
      <c r="H1335" s="9"/>
      <c r="I1335" s="15">
        <v>0</v>
      </c>
      <c r="J1335" s="15">
        <v>0</v>
      </c>
      <c r="K1335" s="15">
        <v>0</v>
      </c>
      <c r="L1335" s="15">
        <v>0</v>
      </c>
      <c r="M1335" s="188">
        <f t="shared" si="56"/>
        <v>0</v>
      </c>
      <c r="N1335" s="189"/>
      <c r="O1335" s="4"/>
    </row>
    <row r="1336" spans="1:15" x14ac:dyDescent="0.25">
      <c r="O1336" s="4"/>
    </row>
    <row r="1337" spans="1:15" ht="15.75" x14ac:dyDescent="0.25">
      <c r="A1337" s="177" t="s">
        <v>58</v>
      </c>
      <c r="B1337" s="177"/>
      <c r="C1337" s="177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4"/>
    </row>
    <row r="1338" spans="1:15" x14ac:dyDescent="0.25">
      <c r="A1338" s="178"/>
      <c r="B1338" s="179"/>
      <c r="C1338" s="179"/>
      <c r="D1338" s="179"/>
      <c r="E1338" s="179"/>
      <c r="F1338" s="179"/>
      <c r="G1338" s="179"/>
      <c r="H1338" s="179"/>
      <c r="I1338" s="179"/>
      <c r="J1338" s="179"/>
      <c r="K1338" s="179"/>
      <c r="L1338" s="179"/>
      <c r="M1338" s="179"/>
      <c r="N1338" s="180"/>
      <c r="O1338" s="10">
        <f>A1338</f>
        <v>0</v>
      </c>
    </row>
    <row r="1339" spans="1:15" x14ac:dyDescent="0.25">
      <c r="A1339" s="174" t="s">
        <v>59</v>
      </c>
      <c r="B1339" s="174"/>
      <c r="C1339" s="174"/>
      <c r="D1339" s="174"/>
      <c r="E1339" s="174"/>
      <c r="F1339" s="174"/>
      <c r="G1339" s="174"/>
      <c r="H1339" s="174"/>
      <c r="I1339" s="174"/>
      <c r="J1339" s="174"/>
      <c r="K1339" s="174"/>
      <c r="L1339" s="174"/>
      <c r="M1339" s="174"/>
      <c r="N1339" s="174"/>
      <c r="O1339" s="10"/>
    </row>
    <row r="1340" spans="1:15" x14ac:dyDescent="0.25">
      <c r="A1340" s="178"/>
      <c r="B1340" s="179"/>
      <c r="C1340" s="179"/>
      <c r="D1340" s="179"/>
      <c r="E1340" s="179"/>
      <c r="F1340" s="179"/>
      <c r="G1340" s="179"/>
      <c r="H1340" s="179"/>
      <c r="I1340" s="179"/>
      <c r="J1340" s="179"/>
      <c r="K1340" s="179"/>
      <c r="L1340" s="179"/>
      <c r="M1340" s="179"/>
      <c r="N1340" s="180"/>
      <c r="O1340" s="10">
        <f t="shared" ref="O1340:O1361" si="57">A1340</f>
        <v>0</v>
      </c>
    </row>
    <row r="1341" spans="1:15" x14ac:dyDescent="0.25">
      <c r="A1341" s="176" t="s">
        <v>60</v>
      </c>
      <c r="B1341" s="176"/>
      <c r="C1341" s="176"/>
      <c r="D1341" s="176"/>
      <c r="E1341" s="176"/>
      <c r="F1341" s="176"/>
      <c r="G1341" s="176"/>
      <c r="H1341" s="176"/>
      <c r="I1341" s="176"/>
      <c r="J1341" s="176"/>
      <c r="K1341" s="176"/>
      <c r="L1341" s="176"/>
      <c r="M1341" s="176" t="s">
        <v>61</v>
      </c>
      <c r="N1341" s="176"/>
      <c r="O1341" s="10"/>
    </row>
    <row r="1342" spans="1:15" x14ac:dyDescent="0.25">
      <c r="A1342" s="176" t="s">
        <v>62</v>
      </c>
      <c r="B1342" s="176"/>
      <c r="C1342" s="176"/>
      <c r="D1342" s="176"/>
      <c r="E1342" s="176"/>
      <c r="F1342" s="176"/>
      <c r="G1342" s="176"/>
      <c r="H1342" s="176"/>
      <c r="I1342" s="176"/>
      <c r="J1342" s="176"/>
      <c r="K1342" s="176"/>
      <c r="L1342" s="176"/>
      <c r="M1342" s="176" t="s">
        <v>61</v>
      </c>
      <c r="N1342" s="176"/>
      <c r="O1342" s="10"/>
    </row>
    <row r="1343" spans="1:15" x14ac:dyDescent="0.25">
      <c r="O1343" s="10"/>
    </row>
    <row r="1344" spans="1:15" ht="15.75" x14ac:dyDescent="0.25">
      <c r="A1344" s="184" t="s">
        <v>63</v>
      </c>
      <c r="B1344" s="185"/>
      <c r="C1344" s="185"/>
      <c r="D1344" s="185"/>
      <c r="E1344" s="185"/>
      <c r="F1344" s="185"/>
      <c r="G1344" s="185"/>
      <c r="H1344" s="185"/>
      <c r="I1344" s="185"/>
      <c r="J1344" s="185"/>
      <c r="K1344" s="185"/>
      <c r="L1344" s="185"/>
      <c r="M1344" s="185"/>
      <c r="N1344" s="186"/>
      <c r="O1344" s="10"/>
    </row>
    <row r="1345" spans="1:15" x14ac:dyDescent="0.25">
      <c r="A1345" s="178"/>
      <c r="B1345" s="179"/>
      <c r="C1345" s="179"/>
      <c r="D1345" s="179"/>
      <c r="E1345" s="179"/>
      <c r="F1345" s="179"/>
      <c r="G1345" s="179"/>
      <c r="H1345" s="179"/>
      <c r="I1345" s="179"/>
      <c r="J1345" s="179"/>
      <c r="K1345" s="179"/>
      <c r="L1345" s="179"/>
      <c r="M1345" s="179"/>
      <c r="N1345" s="179"/>
      <c r="O1345" s="10">
        <f t="shared" si="57"/>
        <v>0</v>
      </c>
    </row>
    <row r="1346" spans="1:15" x14ac:dyDescent="0.25">
      <c r="A1346" s="174" t="s">
        <v>64</v>
      </c>
      <c r="B1346" s="174"/>
      <c r="C1346" s="174"/>
      <c r="D1346" s="174"/>
      <c r="E1346" s="174"/>
      <c r="F1346" s="174"/>
      <c r="G1346" s="174"/>
      <c r="H1346" s="174"/>
      <c r="I1346" s="174"/>
      <c r="J1346" s="174"/>
      <c r="K1346" s="174"/>
      <c r="L1346" s="174"/>
      <c r="M1346" s="174"/>
      <c r="N1346" s="174"/>
      <c r="O1346" s="10"/>
    </row>
    <row r="1347" spans="1:15" x14ac:dyDescent="0.25">
      <c r="A1347" s="178"/>
      <c r="B1347" s="179"/>
      <c r="C1347" s="179"/>
      <c r="D1347" s="179"/>
      <c r="E1347" s="179"/>
      <c r="F1347" s="179"/>
      <c r="G1347" s="179"/>
      <c r="H1347" s="179"/>
      <c r="I1347" s="179"/>
      <c r="J1347" s="179"/>
      <c r="K1347" s="179"/>
      <c r="L1347" s="179"/>
      <c r="M1347" s="179"/>
      <c r="N1347" s="180"/>
      <c r="O1347" s="10">
        <f t="shared" si="57"/>
        <v>0</v>
      </c>
    </row>
    <row r="1348" spans="1:15" x14ac:dyDescent="0.25">
      <c r="A1348" s="176" t="s">
        <v>60</v>
      </c>
      <c r="B1348" s="176"/>
      <c r="C1348" s="176"/>
      <c r="D1348" s="176"/>
      <c r="E1348" s="176"/>
      <c r="F1348" s="176"/>
      <c r="G1348" s="176"/>
      <c r="H1348" s="176"/>
      <c r="I1348" s="176"/>
      <c r="J1348" s="176"/>
      <c r="K1348" s="176"/>
      <c r="L1348" s="176"/>
      <c r="M1348" s="176" t="s">
        <v>61</v>
      </c>
      <c r="N1348" s="176"/>
      <c r="O1348" s="10"/>
    </row>
    <row r="1349" spans="1:15" x14ac:dyDescent="0.25">
      <c r="A1349" s="176" t="s">
        <v>62</v>
      </c>
      <c r="B1349" s="176"/>
      <c r="C1349" s="176"/>
      <c r="D1349" s="176"/>
      <c r="E1349" s="176"/>
      <c r="F1349" s="176"/>
      <c r="G1349" s="176"/>
      <c r="H1349" s="176"/>
      <c r="I1349" s="176"/>
      <c r="J1349" s="176"/>
      <c r="K1349" s="176"/>
      <c r="L1349" s="176"/>
      <c r="M1349" s="176" t="s">
        <v>61</v>
      </c>
      <c r="N1349" s="176"/>
      <c r="O1349" s="10"/>
    </row>
    <row r="1350" spans="1:15" x14ac:dyDescent="0.25">
      <c r="O1350" s="10"/>
    </row>
    <row r="1351" spans="1:15" ht="15.75" x14ac:dyDescent="0.25">
      <c r="A1351" s="177" t="s">
        <v>65</v>
      </c>
      <c r="B1351" s="177"/>
      <c r="C1351" s="177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0"/>
    </row>
    <row r="1352" spans="1:15" x14ac:dyDescent="0.25">
      <c r="A1352" s="178"/>
      <c r="B1352" s="179"/>
      <c r="C1352" s="179"/>
      <c r="D1352" s="179"/>
      <c r="E1352" s="179"/>
      <c r="F1352" s="179"/>
      <c r="G1352" s="179"/>
      <c r="H1352" s="179"/>
      <c r="I1352" s="179"/>
      <c r="J1352" s="179"/>
      <c r="K1352" s="179"/>
      <c r="L1352" s="179"/>
      <c r="M1352" s="179"/>
      <c r="N1352" s="180"/>
      <c r="O1352" s="10">
        <f t="shared" si="57"/>
        <v>0</v>
      </c>
    </row>
    <row r="1353" spans="1:15" x14ac:dyDescent="0.25">
      <c r="A1353" s="174" t="s">
        <v>66</v>
      </c>
      <c r="B1353" s="174"/>
      <c r="C1353" s="174"/>
      <c r="D1353" s="174"/>
      <c r="E1353" s="174"/>
      <c r="F1353" s="174"/>
      <c r="G1353" s="174"/>
      <c r="H1353" s="174"/>
      <c r="I1353" s="174"/>
      <c r="J1353" s="174"/>
      <c r="K1353" s="174"/>
      <c r="L1353" s="174"/>
      <c r="M1353" s="174"/>
      <c r="N1353" s="174"/>
      <c r="O1353" s="10"/>
    </row>
    <row r="1354" spans="1:15" x14ac:dyDescent="0.25">
      <c r="A1354" s="178"/>
      <c r="B1354" s="179"/>
      <c r="C1354" s="179"/>
      <c r="D1354" s="179"/>
      <c r="E1354" s="179"/>
      <c r="F1354" s="179"/>
      <c r="G1354" s="179"/>
      <c r="H1354" s="179"/>
      <c r="I1354" s="179"/>
      <c r="J1354" s="179"/>
      <c r="K1354" s="179"/>
      <c r="L1354" s="179"/>
      <c r="M1354" s="179"/>
      <c r="N1354" s="180"/>
      <c r="O1354" s="10">
        <f t="shared" si="57"/>
        <v>0</v>
      </c>
    </row>
    <row r="1355" spans="1:15" x14ac:dyDescent="0.25">
      <c r="A1355" s="187" t="s">
        <v>60</v>
      </c>
      <c r="B1355" s="187"/>
      <c r="C1355" s="187"/>
      <c r="D1355" s="187"/>
      <c r="E1355" s="187"/>
      <c r="F1355" s="187"/>
      <c r="G1355" s="187"/>
      <c r="H1355" s="187"/>
      <c r="I1355" s="187"/>
      <c r="J1355" s="187"/>
      <c r="K1355" s="187"/>
      <c r="L1355" s="187"/>
      <c r="M1355" s="176" t="s">
        <v>61</v>
      </c>
      <c r="N1355" s="176"/>
      <c r="O1355" s="10"/>
    </row>
    <row r="1356" spans="1:15" x14ac:dyDescent="0.25">
      <c r="A1356" s="187" t="s">
        <v>62</v>
      </c>
      <c r="B1356" s="187"/>
      <c r="C1356" s="187"/>
      <c r="D1356" s="187"/>
      <c r="E1356" s="187"/>
      <c r="F1356" s="187"/>
      <c r="G1356" s="187"/>
      <c r="H1356" s="187"/>
      <c r="I1356" s="187"/>
      <c r="J1356" s="187"/>
      <c r="K1356" s="187"/>
      <c r="L1356" s="187"/>
      <c r="M1356" s="176" t="s">
        <v>61</v>
      </c>
      <c r="N1356" s="176"/>
      <c r="O1356" s="10"/>
    </row>
    <row r="1357" spans="1:15" x14ac:dyDescent="0.25">
      <c r="O1357" s="10"/>
    </row>
    <row r="1358" spans="1:15" ht="15.75" x14ac:dyDescent="0.25">
      <c r="A1358" s="184" t="s">
        <v>67</v>
      </c>
      <c r="B1358" s="185"/>
      <c r="C1358" s="185"/>
      <c r="D1358" s="185"/>
      <c r="E1358" s="185"/>
      <c r="F1358" s="185"/>
      <c r="G1358" s="185"/>
      <c r="H1358" s="185"/>
      <c r="I1358" s="185"/>
      <c r="J1358" s="185"/>
      <c r="K1358" s="185"/>
      <c r="L1358" s="185"/>
      <c r="M1358" s="185"/>
      <c r="N1358" s="186"/>
      <c r="O1358" s="10"/>
    </row>
    <row r="1359" spans="1:15" x14ac:dyDescent="0.25">
      <c r="A1359" s="178"/>
      <c r="B1359" s="179"/>
      <c r="C1359" s="179"/>
      <c r="D1359" s="179"/>
      <c r="E1359" s="179"/>
      <c r="F1359" s="179"/>
      <c r="G1359" s="179"/>
      <c r="H1359" s="179"/>
      <c r="I1359" s="179"/>
      <c r="J1359" s="179"/>
      <c r="K1359" s="179"/>
      <c r="L1359" s="179"/>
      <c r="M1359" s="179"/>
      <c r="N1359" s="180"/>
      <c r="O1359" s="10">
        <f t="shared" si="57"/>
        <v>0</v>
      </c>
    </row>
    <row r="1360" spans="1:15" x14ac:dyDescent="0.25">
      <c r="A1360" s="174" t="s">
        <v>68</v>
      </c>
      <c r="B1360" s="174"/>
      <c r="C1360" s="174"/>
      <c r="D1360" s="174"/>
      <c r="E1360" s="174"/>
      <c r="F1360" s="174"/>
      <c r="G1360" s="174"/>
      <c r="H1360" s="174"/>
      <c r="I1360" s="174"/>
      <c r="J1360" s="174"/>
      <c r="K1360" s="174"/>
      <c r="L1360" s="174"/>
      <c r="M1360" s="174"/>
      <c r="N1360" s="174"/>
      <c r="O1360" s="10"/>
    </row>
    <row r="1361" spans="1:15" x14ac:dyDescent="0.25">
      <c r="A1361" s="178"/>
      <c r="B1361" s="179"/>
      <c r="C1361" s="179"/>
      <c r="D1361" s="179"/>
      <c r="E1361" s="179"/>
      <c r="F1361" s="179"/>
      <c r="G1361" s="179"/>
      <c r="H1361" s="179"/>
      <c r="I1361" s="179"/>
      <c r="J1361" s="179"/>
      <c r="K1361" s="179"/>
      <c r="L1361" s="179"/>
      <c r="M1361" s="179"/>
      <c r="N1361" s="180"/>
      <c r="O1361" s="10">
        <f t="shared" si="57"/>
        <v>0</v>
      </c>
    </row>
    <row r="1362" spans="1:15" x14ac:dyDescent="0.25">
      <c r="A1362" s="176" t="s">
        <v>60</v>
      </c>
      <c r="B1362" s="176"/>
      <c r="C1362" s="176"/>
      <c r="D1362" s="176"/>
      <c r="E1362" s="176"/>
      <c r="F1362" s="176"/>
      <c r="G1362" s="176"/>
      <c r="H1362" s="176"/>
      <c r="I1362" s="176"/>
      <c r="J1362" s="176"/>
      <c r="K1362" s="176"/>
      <c r="L1362" s="176"/>
      <c r="M1362" s="176" t="s">
        <v>61</v>
      </c>
      <c r="N1362" s="176"/>
      <c r="O1362" s="10"/>
    </row>
    <row r="1363" spans="1:15" x14ac:dyDescent="0.25">
      <c r="A1363" s="176" t="s">
        <v>62</v>
      </c>
      <c r="B1363" s="176"/>
      <c r="C1363" s="176"/>
      <c r="D1363" s="176"/>
      <c r="E1363" s="176"/>
      <c r="F1363" s="176"/>
      <c r="G1363" s="176"/>
      <c r="H1363" s="176"/>
      <c r="I1363" s="176"/>
      <c r="J1363" s="176"/>
      <c r="K1363" s="176"/>
      <c r="L1363" s="176"/>
      <c r="M1363" s="176" t="s">
        <v>61</v>
      </c>
      <c r="N1363" s="176"/>
      <c r="O1363" s="10"/>
    </row>
    <row r="1364" spans="1:15" x14ac:dyDescent="0.25">
      <c r="A1364" s="209" t="s">
        <v>91</v>
      </c>
      <c r="B1364" s="209"/>
      <c r="C1364" s="209"/>
      <c r="D1364" s="209"/>
      <c r="E1364" s="209"/>
      <c r="F1364" s="209"/>
      <c r="G1364" s="209"/>
      <c r="H1364" s="209"/>
      <c r="I1364" s="209"/>
      <c r="J1364" s="209"/>
      <c r="K1364" s="209"/>
      <c r="L1364" s="209"/>
      <c r="M1364" s="209"/>
      <c r="N1364" s="209"/>
      <c r="O1364" s="4"/>
    </row>
    <row r="1365" spans="1:15" x14ac:dyDescent="0.25">
      <c r="A1365" s="209" t="s">
        <v>89</v>
      </c>
      <c r="B1365" s="209"/>
      <c r="C1365" s="209"/>
      <c r="D1365" s="209"/>
      <c r="E1365" s="209"/>
      <c r="F1365" s="209"/>
      <c r="G1365" s="209"/>
      <c r="H1365" s="209"/>
      <c r="I1365" s="209"/>
      <c r="J1365" s="209"/>
      <c r="K1365" s="209"/>
      <c r="L1365" s="209"/>
      <c r="M1365" s="209"/>
      <c r="N1365" s="209"/>
      <c r="O1365" s="4"/>
    </row>
    <row r="1366" spans="1:15" x14ac:dyDescent="0.25">
      <c r="A1366" s="209" t="s">
        <v>44</v>
      </c>
      <c r="B1366" s="209"/>
      <c r="C1366" s="209"/>
      <c r="D1366" s="209"/>
      <c r="E1366" s="209"/>
      <c r="F1366" s="209"/>
      <c r="G1366" s="209"/>
      <c r="H1366" s="209"/>
      <c r="I1366" s="209"/>
      <c r="J1366" s="209"/>
      <c r="K1366" s="209"/>
      <c r="L1366" s="209"/>
      <c r="M1366" s="209"/>
      <c r="N1366" s="209"/>
      <c r="O1366" s="4"/>
    </row>
    <row r="1367" spans="1:15" ht="15.75" x14ac:dyDescent="0.25">
      <c r="A1367" s="210" t="s">
        <v>72</v>
      </c>
      <c r="B1367" s="210"/>
      <c r="C1367" s="210"/>
      <c r="D1367" s="210"/>
      <c r="E1367" s="210"/>
      <c r="F1367" s="210"/>
      <c r="G1367" s="210"/>
      <c r="H1367" s="210"/>
      <c r="I1367" s="210"/>
      <c r="J1367" s="210"/>
      <c r="K1367" s="210"/>
      <c r="L1367" s="210"/>
      <c r="M1367" s="210"/>
      <c r="N1367" s="210"/>
      <c r="O1367" s="4"/>
    </row>
    <row r="1368" spans="1:15" ht="15.75" x14ac:dyDescent="0.25">
      <c r="A1368" s="211" t="s">
        <v>125</v>
      </c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211"/>
      <c r="N1368" s="211"/>
      <c r="O1368" s="4"/>
    </row>
    <row r="1369" spans="1:15" ht="15.75" x14ac:dyDescent="0.25">
      <c r="A1369" s="5" t="s">
        <v>46</v>
      </c>
      <c r="B1369" s="208" t="s">
        <v>123</v>
      </c>
      <c r="C1369" s="208"/>
      <c r="D1369" s="208"/>
      <c r="E1369" s="208"/>
      <c r="F1369" s="208"/>
      <c r="G1369" s="208"/>
      <c r="H1369" s="208"/>
      <c r="I1369" s="208"/>
      <c r="J1369" s="208"/>
      <c r="K1369" s="208"/>
      <c r="L1369" s="208"/>
      <c r="M1369" s="208"/>
      <c r="N1369" s="208"/>
      <c r="O1369" s="4"/>
    </row>
    <row r="1370" spans="1:15" ht="15.75" x14ac:dyDescent="0.25">
      <c r="A1370" s="5" t="s">
        <v>47</v>
      </c>
      <c r="B1370" s="175" t="s">
        <v>122</v>
      </c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4" t="s">
        <v>74</v>
      </c>
      <c r="M1370" s="174"/>
      <c r="N1370" s="34">
        <v>38461.812130460763</v>
      </c>
      <c r="O1370" s="4"/>
    </row>
    <row r="1371" spans="1:15" x14ac:dyDescent="0.25">
      <c r="A1371" s="6" t="s">
        <v>21</v>
      </c>
      <c r="B1371" s="7" t="s">
        <v>92</v>
      </c>
      <c r="C1371" s="6" t="s">
        <v>22</v>
      </c>
      <c r="D1371" s="7">
        <v>2020</v>
      </c>
      <c r="E1371" s="194" t="s">
        <v>20</v>
      </c>
      <c r="F1371" s="194"/>
      <c r="G1371" s="194"/>
      <c r="H1371" s="195" t="s">
        <v>124</v>
      </c>
      <c r="I1371" s="196"/>
      <c r="J1371" s="196"/>
      <c r="K1371" s="196"/>
      <c r="L1371" s="196"/>
      <c r="M1371" s="196"/>
      <c r="N1371" s="197"/>
      <c r="O1371" s="4"/>
    </row>
    <row r="1372" spans="1:15" x14ac:dyDescent="0.25">
      <c r="A1372" s="198" t="s">
        <v>48</v>
      </c>
      <c r="B1372" s="199"/>
      <c r="C1372" s="200"/>
      <c r="D1372" s="204" t="s">
        <v>49</v>
      </c>
      <c r="E1372" s="205"/>
      <c r="F1372" s="205"/>
      <c r="G1372" s="205"/>
      <c r="H1372" s="206"/>
      <c r="I1372" s="207" t="s">
        <v>50</v>
      </c>
      <c r="J1372" s="207"/>
      <c r="K1372" s="207"/>
      <c r="L1372" s="207"/>
      <c r="M1372" s="207"/>
      <c r="N1372" s="207"/>
      <c r="O1372" s="4"/>
    </row>
    <row r="1373" spans="1:15" ht="30" x14ac:dyDescent="0.25">
      <c r="A1373" s="201"/>
      <c r="B1373" s="202"/>
      <c r="C1373" s="203"/>
      <c r="D1373" s="8" t="s">
        <v>51</v>
      </c>
      <c r="E1373" s="8" t="s">
        <v>52</v>
      </c>
      <c r="F1373" s="8" t="s">
        <v>53</v>
      </c>
      <c r="G1373" s="8" t="s">
        <v>54</v>
      </c>
      <c r="H1373" s="8" t="s">
        <v>55</v>
      </c>
      <c r="I1373" s="33" t="s">
        <v>51</v>
      </c>
      <c r="J1373" s="33" t="s">
        <v>52</v>
      </c>
      <c r="K1373" s="33" t="s">
        <v>53</v>
      </c>
      <c r="L1373" s="33" t="s">
        <v>54</v>
      </c>
      <c r="M1373" s="201" t="s">
        <v>56</v>
      </c>
      <c r="N1373" s="203"/>
      <c r="O1373" s="4"/>
    </row>
    <row r="1374" spans="1:15" x14ac:dyDescent="0.25">
      <c r="A1374" s="181" t="s">
        <v>2</v>
      </c>
      <c r="B1374" s="182"/>
      <c r="C1374" s="183"/>
      <c r="D1374" s="9" t="s">
        <v>57</v>
      </c>
      <c r="E1374" s="9" t="s">
        <v>57</v>
      </c>
      <c r="F1374" s="9" t="s">
        <v>57</v>
      </c>
      <c r="G1374" s="9" t="s">
        <v>57</v>
      </c>
      <c r="H1374" s="9"/>
      <c r="I1374" s="15">
        <v>0</v>
      </c>
      <c r="J1374" s="15">
        <v>0</v>
      </c>
      <c r="K1374" s="15">
        <v>0</v>
      </c>
      <c r="L1374" s="15">
        <v>0</v>
      </c>
      <c r="M1374" s="190">
        <f>I1374+J1374+K1374+L1374</f>
        <v>0</v>
      </c>
      <c r="N1374" s="191"/>
      <c r="O1374" s="4"/>
    </row>
    <row r="1375" spans="1:15" x14ac:dyDescent="0.25">
      <c r="A1375" s="181" t="s">
        <v>3</v>
      </c>
      <c r="B1375" s="182"/>
      <c r="C1375" s="183"/>
      <c r="D1375" s="9" t="s">
        <v>57</v>
      </c>
      <c r="E1375" s="9" t="s">
        <v>57</v>
      </c>
      <c r="F1375" s="9" t="s">
        <v>57</v>
      </c>
      <c r="G1375" s="9" t="s">
        <v>57</v>
      </c>
      <c r="H1375" s="9"/>
      <c r="I1375" s="15">
        <v>0</v>
      </c>
      <c r="J1375" s="15">
        <v>0</v>
      </c>
      <c r="K1375" s="15">
        <v>0</v>
      </c>
      <c r="L1375" s="15">
        <v>0</v>
      </c>
      <c r="M1375" s="192">
        <f t="shared" ref="M1375:M1382" si="58">I1375+J1375+K1375+L1375</f>
        <v>0</v>
      </c>
      <c r="N1375" s="193"/>
      <c r="O1375" s="4"/>
    </row>
    <row r="1376" spans="1:15" x14ac:dyDescent="0.25">
      <c r="A1376" s="181" t="s">
        <v>4</v>
      </c>
      <c r="B1376" s="182"/>
      <c r="C1376" s="183"/>
      <c r="D1376" s="9" t="s">
        <v>57</v>
      </c>
      <c r="E1376" s="9" t="s">
        <v>57</v>
      </c>
      <c r="F1376" s="9" t="s">
        <v>57</v>
      </c>
      <c r="G1376" s="9" t="s">
        <v>57</v>
      </c>
      <c r="H1376" s="9"/>
      <c r="I1376" s="15">
        <v>0</v>
      </c>
      <c r="J1376" s="15">
        <v>0</v>
      </c>
      <c r="K1376" s="15">
        <v>0</v>
      </c>
      <c r="L1376" s="15">
        <v>0</v>
      </c>
      <c r="M1376" s="192">
        <f t="shared" si="58"/>
        <v>0</v>
      </c>
      <c r="N1376" s="193"/>
      <c r="O1376" s="4"/>
    </row>
    <row r="1377" spans="1:15" x14ac:dyDescent="0.25">
      <c r="A1377" s="181" t="s">
        <v>5</v>
      </c>
      <c r="B1377" s="182"/>
      <c r="C1377" s="183"/>
      <c r="D1377" s="9" t="s">
        <v>57</v>
      </c>
      <c r="E1377" s="9" t="s">
        <v>57</v>
      </c>
      <c r="F1377" s="9" t="s">
        <v>57</v>
      </c>
      <c r="G1377" s="9" t="s">
        <v>57</v>
      </c>
      <c r="H1377" s="9"/>
      <c r="I1377" s="15">
        <v>0</v>
      </c>
      <c r="J1377" s="15">
        <v>0</v>
      </c>
      <c r="K1377" s="15">
        <v>0</v>
      </c>
      <c r="L1377" s="15">
        <v>0</v>
      </c>
      <c r="M1377" s="192">
        <f t="shared" si="58"/>
        <v>0</v>
      </c>
      <c r="N1377" s="193"/>
      <c r="O1377" s="4"/>
    </row>
    <row r="1378" spans="1:15" x14ac:dyDescent="0.25">
      <c r="A1378" s="181" t="s">
        <v>6</v>
      </c>
      <c r="B1378" s="182"/>
      <c r="C1378" s="183"/>
      <c r="D1378" s="9" t="s">
        <v>57</v>
      </c>
      <c r="E1378" s="9" t="s">
        <v>57</v>
      </c>
      <c r="F1378" s="9" t="s">
        <v>57</v>
      </c>
      <c r="G1378" s="9" t="s">
        <v>57</v>
      </c>
      <c r="H1378" s="9"/>
      <c r="I1378" s="15">
        <v>0</v>
      </c>
      <c r="J1378" s="15">
        <v>0</v>
      </c>
      <c r="K1378" s="15">
        <v>0</v>
      </c>
      <c r="L1378" s="15">
        <v>0</v>
      </c>
      <c r="M1378" s="192">
        <f t="shared" si="58"/>
        <v>0</v>
      </c>
      <c r="N1378" s="193"/>
      <c r="O1378" s="4"/>
    </row>
    <row r="1379" spans="1:15" x14ac:dyDescent="0.25">
      <c r="A1379" s="181" t="s">
        <v>8</v>
      </c>
      <c r="B1379" s="182"/>
      <c r="C1379" s="183"/>
      <c r="D1379" s="9" t="s">
        <v>57</v>
      </c>
      <c r="E1379" s="9" t="s">
        <v>57</v>
      </c>
      <c r="F1379" s="9" t="s">
        <v>57</v>
      </c>
      <c r="G1379" s="9" t="s">
        <v>57</v>
      </c>
      <c r="H1379" s="9"/>
      <c r="I1379" s="15">
        <v>0</v>
      </c>
      <c r="J1379" s="15">
        <v>0</v>
      </c>
      <c r="K1379" s="15">
        <v>0</v>
      </c>
      <c r="L1379" s="15">
        <v>0</v>
      </c>
      <c r="M1379" s="192">
        <f t="shared" si="58"/>
        <v>0</v>
      </c>
      <c r="N1379" s="193"/>
      <c r="O1379" s="4"/>
    </row>
    <row r="1380" spans="1:15" x14ac:dyDescent="0.25">
      <c r="A1380" s="181" t="s">
        <v>38</v>
      </c>
      <c r="B1380" s="182"/>
      <c r="C1380" s="183"/>
      <c r="D1380" s="9" t="s">
        <v>57</v>
      </c>
      <c r="E1380" s="9" t="s">
        <v>57</v>
      </c>
      <c r="F1380" s="9" t="s">
        <v>57</v>
      </c>
      <c r="G1380" s="9" t="s">
        <v>57</v>
      </c>
      <c r="H1380" s="9"/>
      <c r="I1380" s="15">
        <v>0</v>
      </c>
      <c r="J1380" s="15">
        <v>0</v>
      </c>
      <c r="K1380" s="15">
        <v>0</v>
      </c>
      <c r="L1380" s="15">
        <v>0</v>
      </c>
      <c r="M1380" s="192">
        <f t="shared" si="58"/>
        <v>0</v>
      </c>
      <c r="N1380" s="193"/>
      <c r="O1380" s="4"/>
    </row>
    <row r="1381" spans="1:15" x14ac:dyDescent="0.25">
      <c r="A1381" s="181" t="s">
        <v>7</v>
      </c>
      <c r="B1381" s="182"/>
      <c r="C1381" s="183"/>
      <c r="D1381" s="9" t="s">
        <v>57</v>
      </c>
      <c r="E1381" s="9" t="s">
        <v>57</v>
      </c>
      <c r="F1381" s="9" t="s">
        <v>57</v>
      </c>
      <c r="G1381" s="9" t="s">
        <v>57</v>
      </c>
      <c r="H1381" s="9"/>
      <c r="I1381" s="15">
        <v>0</v>
      </c>
      <c r="J1381" s="15">
        <v>0</v>
      </c>
      <c r="K1381" s="15">
        <v>0</v>
      </c>
      <c r="L1381" s="15">
        <v>0</v>
      </c>
      <c r="M1381" s="192">
        <f t="shared" si="58"/>
        <v>0</v>
      </c>
      <c r="N1381" s="193"/>
      <c r="O1381" s="4"/>
    </row>
    <row r="1382" spans="1:15" x14ac:dyDescent="0.25">
      <c r="A1382" s="181" t="s">
        <v>90</v>
      </c>
      <c r="B1382" s="182"/>
      <c r="C1382" s="183"/>
      <c r="D1382" s="9" t="s">
        <v>57</v>
      </c>
      <c r="E1382" s="9" t="s">
        <v>57</v>
      </c>
      <c r="F1382" s="9" t="s">
        <v>57</v>
      </c>
      <c r="G1382" s="9" t="s">
        <v>57</v>
      </c>
      <c r="H1382" s="9"/>
      <c r="I1382" s="15">
        <v>0</v>
      </c>
      <c r="J1382" s="15">
        <v>0</v>
      </c>
      <c r="K1382" s="15">
        <v>0</v>
      </c>
      <c r="L1382" s="15">
        <v>0</v>
      </c>
      <c r="M1382" s="188">
        <f t="shared" si="58"/>
        <v>0</v>
      </c>
      <c r="N1382" s="189"/>
      <c r="O1382" s="4"/>
    </row>
    <row r="1383" spans="1:15" x14ac:dyDescent="0.25">
      <c r="O1383" s="4"/>
    </row>
    <row r="1384" spans="1:15" ht="15.75" x14ac:dyDescent="0.25">
      <c r="A1384" s="177" t="s">
        <v>58</v>
      </c>
      <c r="B1384" s="177"/>
      <c r="C1384" s="177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4"/>
    </row>
    <row r="1385" spans="1:15" x14ac:dyDescent="0.25">
      <c r="A1385" s="178"/>
      <c r="B1385" s="179"/>
      <c r="C1385" s="179"/>
      <c r="D1385" s="179"/>
      <c r="E1385" s="179"/>
      <c r="F1385" s="179"/>
      <c r="G1385" s="179"/>
      <c r="H1385" s="179"/>
      <c r="I1385" s="179"/>
      <c r="J1385" s="179"/>
      <c r="K1385" s="179"/>
      <c r="L1385" s="179"/>
      <c r="M1385" s="179"/>
      <c r="N1385" s="180"/>
      <c r="O1385" s="10">
        <f>A1385</f>
        <v>0</v>
      </c>
    </row>
    <row r="1386" spans="1:15" x14ac:dyDescent="0.25">
      <c r="A1386" s="174" t="s">
        <v>59</v>
      </c>
      <c r="B1386" s="174"/>
      <c r="C1386" s="174"/>
      <c r="D1386" s="174"/>
      <c r="E1386" s="174"/>
      <c r="F1386" s="174"/>
      <c r="G1386" s="174"/>
      <c r="H1386" s="174"/>
      <c r="I1386" s="174"/>
      <c r="J1386" s="174"/>
      <c r="K1386" s="174"/>
      <c r="L1386" s="174"/>
      <c r="M1386" s="174"/>
      <c r="N1386" s="174"/>
      <c r="O1386" s="10"/>
    </row>
    <row r="1387" spans="1:15" x14ac:dyDescent="0.25">
      <c r="A1387" s="178"/>
      <c r="B1387" s="179"/>
      <c r="C1387" s="179"/>
      <c r="D1387" s="179"/>
      <c r="E1387" s="179"/>
      <c r="F1387" s="179"/>
      <c r="G1387" s="179"/>
      <c r="H1387" s="179"/>
      <c r="I1387" s="179"/>
      <c r="J1387" s="179"/>
      <c r="K1387" s="179"/>
      <c r="L1387" s="179"/>
      <c r="M1387" s="179"/>
      <c r="N1387" s="180"/>
      <c r="O1387" s="10">
        <f t="shared" ref="O1387:O1408" si="59">A1387</f>
        <v>0</v>
      </c>
    </row>
    <row r="1388" spans="1:15" x14ac:dyDescent="0.25">
      <c r="A1388" s="176" t="s">
        <v>60</v>
      </c>
      <c r="B1388" s="176"/>
      <c r="C1388" s="176"/>
      <c r="D1388" s="176"/>
      <c r="E1388" s="176"/>
      <c r="F1388" s="176"/>
      <c r="G1388" s="176"/>
      <c r="H1388" s="176"/>
      <c r="I1388" s="176"/>
      <c r="J1388" s="176"/>
      <c r="K1388" s="176"/>
      <c r="L1388" s="176"/>
      <c r="M1388" s="176" t="s">
        <v>61</v>
      </c>
      <c r="N1388" s="176"/>
      <c r="O1388" s="10"/>
    </row>
    <row r="1389" spans="1:15" x14ac:dyDescent="0.25">
      <c r="A1389" s="176" t="s">
        <v>62</v>
      </c>
      <c r="B1389" s="176"/>
      <c r="C1389" s="176"/>
      <c r="D1389" s="176"/>
      <c r="E1389" s="176"/>
      <c r="F1389" s="176"/>
      <c r="G1389" s="176"/>
      <c r="H1389" s="176"/>
      <c r="I1389" s="176"/>
      <c r="J1389" s="176"/>
      <c r="K1389" s="176"/>
      <c r="L1389" s="176"/>
      <c r="M1389" s="176" t="s">
        <v>61</v>
      </c>
      <c r="N1389" s="176"/>
      <c r="O1389" s="10"/>
    </row>
    <row r="1390" spans="1:15" x14ac:dyDescent="0.25">
      <c r="O1390" s="10"/>
    </row>
    <row r="1391" spans="1:15" ht="15.75" x14ac:dyDescent="0.25">
      <c r="A1391" s="184" t="s">
        <v>63</v>
      </c>
      <c r="B1391" s="185"/>
      <c r="C1391" s="185"/>
      <c r="D1391" s="185"/>
      <c r="E1391" s="185"/>
      <c r="F1391" s="185"/>
      <c r="G1391" s="185"/>
      <c r="H1391" s="185"/>
      <c r="I1391" s="185"/>
      <c r="J1391" s="185"/>
      <c r="K1391" s="185"/>
      <c r="L1391" s="185"/>
      <c r="M1391" s="185"/>
      <c r="N1391" s="186"/>
      <c r="O1391" s="10"/>
    </row>
    <row r="1392" spans="1:15" x14ac:dyDescent="0.25">
      <c r="A1392" s="178"/>
      <c r="B1392" s="179"/>
      <c r="C1392" s="179"/>
      <c r="D1392" s="179"/>
      <c r="E1392" s="179"/>
      <c r="F1392" s="179"/>
      <c r="G1392" s="179"/>
      <c r="H1392" s="179"/>
      <c r="I1392" s="179"/>
      <c r="J1392" s="179"/>
      <c r="K1392" s="179"/>
      <c r="L1392" s="179"/>
      <c r="M1392" s="179"/>
      <c r="N1392" s="179"/>
      <c r="O1392" s="10">
        <f t="shared" si="59"/>
        <v>0</v>
      </c>
    </row>
    <row r="1393" spans="1:15" x14ac:dyDescent="0.25">
      <c r="A1393" s="174" t="s">
        <v>64</v>
      </c>
      <c r="B1393" s="174"/>
      <c r="C1393" s="174"/>
      <c r="D1393" s="174"/>
      <c r="E1393" s="174"/>
      <c r="F1393" s="174"/>
      <c r="G1393" s="174"/>
      <c r="H1393" s="174"/>
      <c r="I1393" s="174"/>
      <c r="J1393" s="174"/>
      <c r="K1393" s="174"/>
      <c r="L1393" s="174"/>
      <c r="M1393" s="174"/>
      <c r="N1393" s="174"/>
      <c r="O1393" s="10"/>
    </row>
    <row r="1394" spans="1:15" x14ac:dyDescent="0.25">
      <c r="A1394" s="178"/>
      <c r="B1394" s="179"/>
      <c r="C1394" s="179"/>
      <c r="D1394" s="179"/>
      <c r="E1394" s="179"/>
      <c r="F1394" s="179"/>
      <c r="G1394" s="179"/>
      <c r="H1394" s="179"/>
      <c r="I1394" s="179"/>
      <c r="J1394" s="179"/>
      <c r="K1394" s="179"/>
      <c r="L1394" s="179"/>
      <c r="M1394" s="179"/>
      <c r="N1394" s="180"/>
      <c r="O1394" s="10">
        <f t="shared" si="59"/>
        <v>0</v>
      </c>
    </row>
    <row r="1395" spans="1:15" x14ac:dyDescent="0.25">
      <c r="A1395" s="176" t="s">
        <v>60</v>
      </c>
      <c r="B1395" s="176"/>
      <c r="C1395" s="176"/>
      <c r="D1395" s="176"/>
      <c r="E1395" s="176"/>
      <c r="F1395" s="176"/>
      <c r="G1395" s="176"/>
      <c r="H1395" s="176"/>
      <c r="I1395" s="176"/>
      <c r="J1395" s="176"/>
      <c r="K1395" s="176"/>
      <c r="L1395" s="176"/>
      <c r="M1395" s="176" t="s">
        <v>61</v>
      </c>
      <c r="N1395" s="176"/>
      <c r="O1395" s="10"/>
    </row>
    <row r="1396" spans="1:15" x14ac:dyDescent="0.25">
      <c r="A1396" s="176" t="s">
        <v>62</v>
      </c>
      <c r="B1396" s="176"/>
      <c r="C1396" s="176"/>
      <c r="D1396" s="176"/>
      <c r="E1396" s="176"/>
      <c r="F1396" s="176"/>
      <c r="G1396" s="176"/>
      <c r="H1396" s="176"/>
      <c r="I1396" s="176"/>
      <c r="J1396" s="176"/>
      <c r="K1396" s="176"/>
      <c r="L1396" s="176"/>
      <c r="M1396" s="176" t="s">
        <v>61</v>
      </c>
      <c r="N1396" s="176"/>
      <c r="O1396" s="10"/>
    </row>
    <row r="1397" spans="1:15" x14ac:dyDescent="0.25">
      <c r="O1397" s="10"/>
    </row>
    <row r="1398" spans="1:15" ht="15.75" x14ac:dyDescent="0.25">
      <c r="A1398" s="177" t="s">
        <v>65</v>
      </c>
      <c r="B1398" s="177"/>
      <c r="C1398" s="177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0"/>
    </row>
    <row r="1399" spans="1:15" x14ac:dyDescent="0.25">
      <c r="A1399" s="178"/>
      <c r="B1399" s="179"/>
      <c r="C1399" s="179"/>
      <c r="D1399" s="179"/>
      <c r="E1399" s="179"/>
      <c r="F1399" s="179"/>
      <c r="G1399" s="179"/>
      <c r="H1399" s="179"/>
      <c r="I1399" s="179"/>
      <c r="J1399" s="179"/>
      <c r="K1399" s="179"/>
      <c r="L1399" s="179"/>
      <c r="M1399" s="179"/>
      <c r="N1399" s="180"/>
      <c r="O1399" s="10">
        <f t="shared" si="59"/>
        <v>0</v>
      </c>
    </row>
    <row r="1400" spans="1:15" x14ac:dyDescent="0.25">
      <c r="A1400" s="174" t="s">
        <v>66</v>
      </c>
      <c r="B1400" s="174"/>
      <c r="C1400" s="174"/>
      <c r="D1400" s="174"/>
      <c r="E1400" s="174"/>
      <c r="F1400" s="174"/>
      <c r="G1400" s="174"/>
      <c r="H1400" s="174"/>
      <c r="I1400" s="174"/>
      <c r="J1400" s="174"/>
      <c r="K1400" s="174"/>
      <c r="L1400" s="174"/>
      <c r="M1400" s="174"/>
      <c r="N1400" s="174"/>
      <c r="O1400" s="10"/>
    </row>
    <row r="1401" spans="1:15" x14ac:dyDescent="0.25">
      <c r="A1401" s="178"/>
      <c r="B1401" s="179"/>
      <c r="C1401" s="179"/>
      <c r="D1401" s="179"/>
      <c r="E1401" s="179"/>
      <c r="F1401" s="179"/>
      <c r="G1401" s="179"/>
      <c r="H1401" s="179"/>
      <c r="I1401" s="179"/>
      <c r="J1401" s="179"/>
      <c r="K1401" s="179"/>
      <c r="L1401" s="179"/>
      <c r="M1401" s="179"/>
      <c r="N1401" s="180"/>
      <c r="O1401" s="10">
        <f t="shared" si="59"/>
        <v>0</v>
      </c>
    </row>
    <row r="1402" spans="1:15" x14ac:dyDescent="0.25">
      <c r="A1402" s="187" t="s">
        <v>60</v>
      </c>
      <c r="B1402" s="187"/>
      <c r="C1402" s="187"/>
      <c r="D1402" s="187"/>
      <c r="E1402" s="187"/>
      <c r="F1402" s="187"/>
      <c r="G1402" s="187"/>
      <c r="H1402" s="187"/>
      <c r="I1402" s="187"/>
      <c r="J1402" s="187"/>
      <c r="K1402" s="187"/>
      <c r="L1402" s="187"/>
      <c r="M1402" s="176" t="s">
        <v>61</v>
      </c>
      <c r="N1402" s="176"/>
      <c r="O1402" s="10"/>
    </row>
    <row r="1403" spans="1:15" x14ac:dyDescent="0.25">
      <c r="A1403" s="187" t="s">
        <v>62</v>
      </c>
      <c r="B1403" s="187"/>
      <c r="C1403" s="187"/>
      <c r="D1403" s="187"/>
      <c r="E1403" s="187"/>
      <c r="F1403" s="187"/>
      <c r="G1403" s="187"/>
      <c r="H1403" s="187"/>
      <c r="I1403" s="187"/>
      <c r="J1403" s="187"/>
      <c r="K1403" s="187"/>
      <c r="L1403" s="187"/>
      <c r="M1403" s="176" t="s">
        <v>61</v>
      </c>
      <c r="N1403" s="176"/>
      <c r="O1403" s="10"/>
    </row>
    <row r="1404" spans="1:15" x14ac:dyDescent="0.25">
      <c r="O1404" s="10"/>
    </row>
    <row r="1405" spans="1:15" ht="15.75" x14ac:dyDescent="0.25">
      <c r="A1405" s="184" t="s">
        <v>67</v>
      </c>
      <c r="B1405" s="185"/>
      <c r="C1405" s="185"/>
      <c r="D1405" s="185"/>
      <c r="E1405" s="185"/>
      <c r="F1405" s="185"/>
      <c r="G1405" s="185"/>
      <c r="H1405" s="185"/>
      <c r="I1405" s="185"/>
      <c r="J1405" s="185"/>
      <c r="K1405" s="185"/>
      <c r="L1405" s="185"/>
      <c r="M1405" s="185"/>
      <c r="N1405" s="186"/>
      <c r="O1405" s="10"/>
    </row>
    <row r="1406" spans="1:15" x14ac:dyDescent="0.25">
      <c r="A1406" s="178"/>
      <c r="B1406" s="179"/>
      <c r="C1406" s="179"/>
      <c r="D1406" s="179"/>
      <c r="E1406" s="179"/>
      <c r="F1406" s="179"/>
      <c r="G1406" s="179"/>
      <c r="H1406" s="179"/>
      <c r="I1406" s="179"/>
      <c r="J1406" s="179"/>
      <c r="K1406" s="179"/>
      <c r="L1406" s="179"/>
      <c r="M1406" s="179"/>
      <c r="N1406" s="180"/>
      <c r="O1406" s="10">
        <f t="shared" si="59"/>
        <v>0</v>
      </c>
    </row>
    <row r="1407" spans="1:15" x14ac:dyDescent="0.25">
      <c r="A1407" s="174" t="s">
        <v>68</v>
      </c>
      <c r="B1407" s="174"/>
      <c r="C1407" s="174"/>
      <c r="D1407" s="174"/>
      <c r="E1407" s="174"/>
      <c r="F1407" s="174"/>
      <c r="G1407" s="174"/>
      <c r="H1407" s="174"/>
      <c r="I1407" s="174"/>
      <c r="J1407" s="174"/>
      <c r="K1407" s="174"/>
      <c r="L1407" s="174"/>
      <c r="M1407" s="174"/>
      <c r="N1407" s="174"/>
      <c r="O1407" s="10"/>
    </row>
    <row r="1408" spans="1:15" x14ac:dyDescent="0.25">
      <c r="A1408" s="178"/>
      <c r="B1408" s="179"/>
      <c r="C1408" s="179"/>
      <c r="D1408" s="179"/>
      <c r="E1408" s="179"/>
      <c r="F1408" s="179"/>
      <c r="G1408" s="179"/>
      <c r="H1408" s="179"/>
      <c r="I1408" s="179"/>
      <c r="J1408" s="179"/>
      <c r="K1408" s="179"/>
      <c r="L1408" s="179"/>
      <c r="M1408" s="179"/>
      <c r="N1408" s="180"/>
      <c r="O1408" s="10">
        <f t="shared" si="59"/>
        <v>0</v>
      </c>
    </row>
    <row r="1409" spans="1:15" x14ac:dyDescent="0.25">
      <c r="A1409" s="176" t="s">
        <v>60</v>
      </c>
      <c r="B1409" s="176"/>
      <c r="C1409" s="176"/>
      <c r="D1409" s="176"/>
      <c r="E1409" s="176"/>
      <c r="F1409" s="176"/>
      <c r="G1409" s="176"/>
      <c r="H1409" s="176"/>
      <c r="I1409" s="176"/>
      <c r="J1409" s="176"/>
      <c r="K1409" s="176"/>
      <c r="L1409" s="176"/>
      <c r="M1409" s="176" t="s">
        <v>61</v>
      </c>
      <c r="N1409" s="176"/>
      <c r="O1409" s="10"/>
    </row>
    <row r="1410" spans="1:15" x14ac:dyDescent="0.25">
      <c r="A1410" s="176" t="s">
        <v>62</v>
      </c>
      <c r="B1410" s="176"/>
      <c r="C1410" s="176"/>
      <c r="D1410" s="176"/>
      <c r="E1410" s="176"/>
      <c r="F1410" s="176"/>
      <c r="G1410" s="176"/>
      <c r="H1410" s="176"/>
      <c r="I1410" s="176"/>
      <c r="J1410" s="176"/>
      <c r="K1410" s="176"/>
      <c r="L1410" s="176"/>
      <c r="M1410" s="176" t="s">
        <v>61</v>
      </c>
      <c r="N1410" s="176"/>
      <c r="O1410" s="10"/>
    </row>
  </sheetData>
  <mergeCells count="1920">
    <mergeCell ref="A1407:N1407"/>
    <mergeCell ref="A1408:N1408"/>
    <mergeCell ref="A1409:L1409"/>
    <mergeCell ref="M1409:N1409"/>
    <mergeCell ref="A1410:L1410"/>
    <mergeCell ref="M1410:N1410"/>
    <mergeCell ref="A1402:L1402"/>
    <mergeCell ref="M1402:N1402"/>
    <mergeCell ref="A1403:L1403"/>
    <mergeCell ref="M1403:N1403"/>
    <mergeCell ref="A1405:N1405"/>
    <mergeCell ref="A1406:N1406"/>
    <mergeCell ref="A1396:L1396"/>
    <mergeCell ref="M1396:N1396"/>
    <mergeCell ref="A1398:N1398"/>
    <mergeCell ref="A1399:N1399"/>
    <mergeCell ref="A1400:N1400"/>
    <mergeCell ref="A1401:N1401"/>
    <mergeCell ref="A1391:N1391"/>
    <mergeCell ref="A1392:N1392"/>
    <mergeCell ref="A1393:N1393"/>
    <mergeCell ref="A1394:N1394"/>
    <mergeCell ref="A1395:L1395"/>
    <mergeCell ref="M1395:N1395"/>
    <mergeCell ref="A1386:N1386"/>
    <mergeCell ref="A1387:N1387"/>
    <mergeCell ref="A1388:L1388"/>
    <mergeCell ref="M1388:N1388"/>
    <mergeCell ref="A1389:L1389"/>
    <mergeCell ref="M1389:N1389"/>
    <mergeCell ref="A1381:C1381"/>
    <mergeCell ref="M1381:N1381"/>
    <mergeCell ref="A1382:C1382"/>
    <mergeCell ref="M1382:N1382"/>
    <mergeCell ref="A1384:N1384"/>
    <mergeCell ref="A1385:N1385"/>
    <mergeCell ref="A1378:C1378"/>
    <mergeCell ref="M1378:N1378"/>
    <mergeCell ref="A1379:C1379"/>
    <mergeCell ref="M1379:N1379"/>
    <mergeCell ref="A1380:C1380"/>
    <mergeCell ref="M1380:N1380"/>
    <mergeCell ref="A1375:C1375"/>
    <mergeCell ref="M1375:N1375"/>
    <mergeCell ref="A1376:C1376"/>
    <mergeCell ref="M1376:N1376"/>
    <mergeCell ref="A1377:C1377"/>
    <mergeCell ref="M1377:N1377"/>
    <mergeCell ref="A1372:C1373"/>
    <mergeCell ref="D1372:H1372"/>
    <mergeCell ref="I1372:N1372"/>
    <mergeCell ref="M1373:N1373"/>
    <mergeCell ref="A1374:C1374"/>
    <mergeCell ref="M1374:N1374"/>
    <mergeCell ref="A1368:N1368"/>
    <mergeCell ref="B1369:N1369"/>
    <mergeCell ref="B1370:K1370"/>
    <mergeCell ref="L1370:M1370"/>
    <mergeCell ref="E1371:G1371"/>
    <mergeCell ref="H1371:N1371"/>
    <mergeCell ref="A1363:L1363"/>
    <mergeCell ref="M1363:N1363"/>
    <mergeCell ref="A1364:N1364"/>
    <mergeCell ref="A1365:N1365"/>
    <mergeCell ref="A1366:N1366"/>
    <mergeCell ref="A1367:N1367"/>
    <mergeCell ref="A1358:N1358"/>
    <mergeCell ref="A1359:N1359"/>
    <mergeCell ref="A1360:N1360"/>
    <mergeCell ref="A1361:N1361"/>
    <mergeCell ref="A1362:L1362"/>
    <mergeCell ref="M1362:N1362"/>
    <mergeCell ref="A1353:N1353"/>
    <mergeCell ref="A1354:N1354"/>
    <mergeCell ref="A1355:L1355"/>
    <mergeCell ref="M1355:N1355"/>
    <mergeCell ref="A1356:L1356"/>
    <mergeCell ref="M1356:N1356"/>
    <mergeCell ref="A1348:L1348"/>
    <mergeCell ref="M1348:N1348"/>
    <mergeCell ref="A1349:L1349"/>
    <mergeCell ref="M1349:N1349"/>
    <mergeCell ref="A1351:N1351"/>
    <mergeCell ref="A1352:N1352"/>
    <mergeCell ref="A1342:L1342"/>
    <mergeCell ref="M1342:N1342"/>
    <mergeCell ref="A1344:N1344"/>
    <mergeCell ref="A1345:N1345"/>
    <mergeCell ref="A1346:N1346"/>
    <mergeCell ref="A1347:N1347"/>
    <mergeCell ref="A1337:N1337"/>
    <mergeCell ref="A1338:N1338"/>
    <mergeCell ref="A1339:N1339"/>
    <mergeCell ref="A1340:N1340"/>
    <mergeCell ref="A1341:L1341"/>
    <mergeCell ref="M1341:N1341"/>
    <mergeCell ref="A1333:C1333"/>
    <mergeCell ref="M1333:N1333"/>
    <mergeCell ref="A1334:C1334"/>
    <mergeCell ref="M1334:N1334"/>
    <mergeCell ref="A1335:C1335"/>
    <mergeCell ref="M1335:N1335"/>
    <mergeCell ref="A1330:C1330"/>
    <mergeCell ref="M1330:N1330"/>
    <mergeCell ref="A1331:C1331"/>
    <mergeCell ref="M1331:N1331"/>
    <mergeCell ref="A1332:C1332"/>
    <mergeCell ref="M1332:N1332"/>
    <mergeCell ref="A1327:C1327"/>
    <mergeCell ref="M1327:N1327"/>
    <mergeCell ref="A1328:C1328"/>
    <mergeCell ref="M1328:N1328"/>
    <mergeCell ref="A1329:C1329"/>
    <mergeCell ref="M1329:N1329"/>
    <mergeCell ref="B1323:K1323"/>
    <mergeCell ref="L1323:M1323"/>
    <mergeCell ref="E1324:G1324"/>
    <mergeCell ref="H1324:N1324"/>
    <mergeCell ref="A1325:C1326"/>
    <mergeCell ref="D1325:H1325"/>
    <mergeCell ref="I1325:N1325"/>
    <mergeCell ref="M1326:N1326"/>
    <mergeCell ref="A1317:N1317"/>
    <mergeCell ref="A1318:N1318"/>
    <mergeCell ref="A1319:N1319"/>
    <mergeCell ref="A1320:N1320"/>
    <mergeCell ref="A1321:N1321"/>
    <mergeCell ref="B1322:N1322"/>
    <mergeCell ref="A1313:N1313"/>
    <mergeCell ref="A1314:N1314"/>
    <mergeCell ref="A1315:L1315"/>
    <mergeCell ref="M1315:N1315"/>
    <mergeCell ref="A1316:L1316"/>
    <mergeCell ref="M1316:N1316"/>
    <mergeCell ref="A1308:L1308"/>
    <mergeCell ref="M1308:N1308"/>
    <mergeCell ref="A1309:L1309"/>
    <mergeCell ref="M1309:N1309"/>
    <mergeCell ref="A1311:N1311"/>
    <mergeCell ref="A1312:N1312"/>
    <mergeCell ref="A1302:L1302"/>
    <mergeCell ref="M1302:N1302"/>
    <mergeCell ref="A1304:N1304"/>
    <mergeCell ref="A1305:N1305"/>
    <mergeCell ref="A1306:N1306"/>
    <mergeCell ref="A1307:N1307"/>
    <mergeCell ref="A1297:N1297"/>
    <mergeCell ref="A1298:N1298"/>
    <mergeCell ref="A1299:N1299"/>
    <mergeCell ref="A1300:N1300"/>
    <mergeCell ref="A1301:L1301"/>
    <mergeCell ref="M1301:N1301"/>
    <mergeCell ref="A1292:N1292"/>
    <mergeCell ref="A1293:N1293"/>
    <mergeCell ref="A1294:L1294"/>
    <mergeCell ref="M1294:N1294"/>
    <mergeCell ref="A1295:L1295"/>
    <mergeCell ref="M1295:N1295"/>
    <mergeCell ref="A1287:C1287"/>
    <mergeCell ref="M1287:N1287"/>
    <mergeCell ref="A1288:C1288"/>
    <mergeCell ref="M1288:N1288"/>
    <mergeCell ref="A1290:N1290"/>
    <mergeCell ref="A1291:N1291"/>
    <mergeCell ref="A1284:C1284"/>
    <mergeCell ref="M1284:N1284"/>
    <mergeCell ref="A1285:C1285"/>
    <mergeCell ref="M1285:N1285"/>
    <mergeCell ref="A1286:C1286"/>
    <mergeCell ref="M1286:N1286"/>
    <mergeCell ref="A1281:C1281"/>
    <mergeCell ref="M1281:N1281"/>
    <mergeCell ref="A1282:C1282"/>
    <mergeCell ref="M1282:N1282"/>
    <mergeCell ref="A1283:C1283"/>
    <mergeCell ref="M1283:N1283"/>
    <mergeCell ref="A1278:C1279"/>
    <mergeCell ref="D1278:H1278"/>
    <mergeCell ref="I1278:N1278"/>
    <mergeCell ref="M1279:N1279"/>
    <mergeCell ref="A1280:C1280"/>
    <mergeCell ref="M1280:N1280"/>
    <mergeCell ref="A1274:N1274"/>
    <mergeCell ref="B1275:N1275"/>
    <mergeCell ref="B1276:K1276"/>
    <mergeCell ref="L1276:M1276"/>
    <mergeCell ref="E1277:G1277"/>
    <mergeCell ref="H1277:N1277"/>
    <mergeCell ref="A1269:L1269"/>
    <mergeCell ref="M1269:N1269"/>
    <mergeCell ref="A1270:N1270"/>
    <mergeCell ref="A1271:N1271"/>
    <mergeCell ref="A1272:N1272"/>
    <mergeCell ref="A1273:N1273"/>
    <mergeCell ref="A1264:N1264"/>
    <mergeCell ref="A1265:N1265"/>
    <mergeCell ref="A1266:N1266"/>
    <mergeCell ref="A1267:N1267"/>
    <mergeCell ref="A1268:L1268"/>
    <mergeCell ref="M1268:N1268"/>
    <mergeCell ref="A1259:N1259"/>
    <mergeCell ref="A1260:N1260"/>
    <mergeCell ref="A1261:L1261"/>
    <mergeCell ref="M1261:N1261"/>
    <mergeCell ref="A1262:L1262"/>
    <mergeCell ref="M1262:N1262"/>
    <mergeCell ref="A1254:L1254"/>
    <mergeCell ref="M1254:N1254"/>
    <mergeCell ref="A1255:L1255"/>
    <mergeCell ref="M1255:N1255"/>
    <mergeCell ref="A1257:N1257"/>
    <mergeCell ref="A1258:N1258"/>
    <mergeCell ref="A1248:L1248"/>
    <mergeCell ref="M1248:N1248"/>
    <mergeCell ref="A1250:N1250"/>
    <mergeCell ref="A1251:N1251"/>
    <mergeCell ref="A1252:N1252"/>
    <mergeCell ref="A1253:N1253"/>
    <mergeCell ref="A1243:N1243"/>
    <mergeCell ref="A1244:N1244"/>
    <mergeCell ref="A1245:N1245"/>
    <mergeCell ref="A1246:N1246"/>
    <mergeCell ref="A1247:L1247"/>
    <mergeCell ref="M1247:N1247"/>
    <mergeCell ref="A1239:C1239"/>
    <mergeCell ref="M1239:N1239"/>
    <mergeCell ref="A1240:C1240"/>
    <mergeCell ref="M1240:N1240"/>
    <mergeCell ref="A1241:C1241"/>
    <mergeCell ref="M1241:N1241"/>
    <mergeCell ref="A1236:C1236"/>
    <mergeCell ref="M1236:N1236"/>
    <mergeCell ref="A1237:C1237"/>
    <mergeCell ref="M1237:N1237"/>
    <mergeCell ref="A1238:C1238"/>
    <mergeCell ref="M1238:N1238"/>
    <mergeCell ref="A1233:C1233"/>
    <mergeCell ref="M1233:N1233"/>
    <mergeCell ref="A1234:C1234"/>
    <mergeCell ref="M1234:N1234"/>
    <mergeCell ref="A1235:C1235"/>
    <mergeCell ref="M1235:N1235"/>
    <mergeCell ref="B1229:K1229"/>
    <mergeCell ref="L1229:M1229"/>
    <mergeCell ref="E1230:G1230"/>
    <mergeCell ref="H1230:N1230"/>
    <mergeCell ref="A1231:C1232"/>
    <mergeCell ref="D1231:H1231"/>
    <mergeCell ref="I1231:N1231"/>
    <mergeCell ref="M1232:N1232"/>
    <mergeCell ref="A1223:N1223"/>
    <mergeCell ref="A1224:N1224"/>
    <mergeCell ref="A1225:N1225"/>
    <mergeCell ref="A1226:N1226"/>
    <mergeCell ref="A1227:N1227"/>
    <mergeCell ref="B1228:N1228"/>
    <mergeCell ref="A1219:N1219"/>
    <mergeCell ref="A1220:N1220"/>
    <mergeCell ref="A1221:L1221"/>
    <mergeCell ref="M1221:N1221"/>
    <mergeCell ref="A1222:L1222"/>
    <mergeCell ref="M1222:N1222"/>
    <mergeCell ref="A1214:L1214"/>
    <mergeCell ref="M1214:N1214"/>
    <mergeCell ref="A1215:L1215"/>
    <mergeCell ref="M1215:N1215"/>
    <mergeCell ref="A1217:N1217"/>
    <mergeCell ref="A1218:N1218"/>
    <mergeCell ref="A1208:L1208"/>
    <mergeCell ref="M1208:N1208"/>
    <mergeCell ref="A1210:N1210"/>
    <mergeCell ref="A1211:N1211"/>
    <mergeCell ref="A1212:N1212"/>
    <mergeCell ref="A1213:N1213"/>
    <mergeCell ref="A1203:N1203"/>
    <mergeCell ref="A1204:N1204"/>
    <mergeCell ref="A1205:N1205"/>
    <mergeCell ref="A1206:N1206"/>
    <mergeCell ref="A1207:L1207"/>
    <mergeCell ref="M1207:N1207"/>
    <mergeCell ref="A1198:N1198"/>
    <mergeCell ref="A1199:N1199"/>
    <mergeCell ref="A1200:L1200"/>
    <mergeCell ref="M1200:N1200"/>
    <mergeCell ref="A1201:L1201"/>
    <mergeCell ref="M1201:N1201"/>
    <mergeCell ref="A1193:C1193"/>
    <mergeCell ref="M1193:N1193"/>
    <mergeCell ref="A1194:C1194"/>
    <mergeCell ref="M1194:N1194"/>
    <mergeCell ref="A1196:N1196"/>
    <mergeCell ref="A1197:N1197"/>
    <mergeCell ref="A1190:C1190"/>
    <mergeCell ref="M1190:N1190"/>
    <mergeCell ref="A1191:C1191"/>
    <mergeCell ref="M1191:N1191"/>
    <mergeCell ref="A1192:C1192"/>
    <mergeCell ref="M1192:N1192"/>
    <mergeCell ref="A1187:C1187"/>
    <mergeCell ref="M1187:N1187"/>
    <mergeCell ref="A1188:C1188"/>
    <mergeCell ref="M1188:N1188"/>
    <mergeCell ref="A1189:C1189"/>
    <mergeCell ref="M1189:N1189"/>
    <mergeCell ref="A1184:C1185"/>
    <mergeCell ref="D1184:H1184"/>
    <mergeCell ref="I1184:N1184"/>
    <mergeCell ref="M1185:N1185"/>
    <mergeCell ref="A1186:C1186"/>
    <mergeCell ref="M1186:N1186"/>
    <mergeCell ref="A1180:N1180"/>
    <mergeCell ref="B1181:N1181"/>
    <mergeCell ref="B1182:K1182"/>
    <mergeCell ref="L1182:M1182"/>
    <mergeCell ref="E1183:G1183"/>
    <mergeCell ref="H1183:N1183"/>
    <mergeCell ref="A1175:L1175"/>
    <mergeCell ref="M1175:N1175"/>
    <mergeCell ref="A1176:N1176"/>
    <mergeCell ref="A1177:N1177"/>
    <mergeCell ref="A1178:N1178"/>
    <mergeCell ref="A1179:N1179"/>
    <mergeCell ref="A1170:N1170"/>
    <mergeCell ref="A1171:N1171"/>
    <mergeCell ref="A1172:N1172"/>
    <mergeCell ref="A1173:N1173"/>
    <mergeCell ref="A1174:L1174"/>
    <mergeCell ref="M1174:N1174"/>
    <mergeCell ref="A1165:N1165"/>
    <mergeCell ref="A1166:N1166"/>
    <mergeCell ref="A1167:L1167"/>
    <mergeCell ref="M1167:N1167"/>
    <mergeCell ref="A1168:L1168"/>
    <mergeCell ref="M1168:N1168"/>
    <mergeCell ref="A1160:L1160"/>
    <mergeCell ref="M1160:N1160"/>
    <mergeCell ref="A1161:L1161"/>
    <mergeCell ref="M1161:N1161"/>
    <mergeCell ref="A1163:N1163"/>
    <mergeCell ref="A1164:N1164"/>
    <mergeCell ref="A1154:L1154"/>
    <mergeCell ref="M1154:N1154"/>
    <mergeCell ref="A1156:N1156"/>
    <mergeCell ref="A1157:N1157"/>
    <mergeCell ref="A1158:N1158"/>
    <mergeCell ref="A1159:N1159"/>
    <mergeCell ref="A1149:N1149"/>
    <mergeCell ref="A1150:N1150"/>
    <mergeCell ref="A1151:N1151"/>
    <mergeCell ref="A1152:N1152"/>
    <mergeCell ref="A1153:L1153"/>
    <mergeCell ref="M1153:N1153"/>
    <mergeCell ref="A1145:C1145"/>
    <mergeCell ref="M1145:N1145"/>
    <mergeCell ref="A1146:C1146"/>
    <mergeCell ref="M1146:N1146"/>
    <mergeCell ref="A1147:C1147"/>
    <mergeCell ref="M1147:N1147"/>
    <mergeCell ref="A1142:C1142"/>
    <mergeCell ref="M1142:N1142"/>
    <mergeCell ref="A1143:C1143"/>
    <mergeCell ref="M1143:N1143"/>
    <mergeCell ref="A1144:C1144"/>
    <mergeCell ref="M1144:N1144"/>
    <mergeCell ref="A1139:C1139"/>
    <mergeCell ref="M1139:N1139"/>
    <mergeCell ref="A1140:C1140"/>
    <mergeCell ref="M1140:N1140"/>
    <mergeCell ref="A1141:C1141"/>
    <mergeCell ref="M1141:N1141"/>
    <mergeCell ref="B1135:K1135"/>
    <mergeCell ref="L1135:M1135"/>
    <mergeCell ref="E1136:G1136"/>
    <mergeCell ref="H1136:N1136"/>
    <mergeCell ref="A1137:C1138"/>
    <mergeCell ref="D1137:H1137"/>
    <mergeCell ref="I1137:N1137"/>
    <mergeCell ref="M1138:N1138"/>
    <mergeCell ref="A1129:N1129"/>
    <mergeCell ref="A1130:N1130"/>
    <mergeCell ref="A1131:N1131"/>
    <mergeCell ref="A1132:N1132"/>
    <mergeCell ref="A1133:N1133"/>
    <mergeCell ref="B1134:N1134"/>
    <mergeCell ref="A1125:N1125"/>
    <mergeCell ref="A1126:N1126"/>
    <mergeCell ref="A1127:L1127"/>
    <mergeCell ref="M1127:N1127"/>
    <mergeCell ref="A1128:L1128"/>
    <mergeCell ref="M1128:N1128"/>
    <mergeCell ref="A1120:L1120"/>
    <mergeCell ref="M1120:N1120"/>
    <mergeCell ref="A1121:L1121"/>
    <mergeCell ref="M1121:N1121"/>
    <mergeCell ref="A1123:N1123"/>
    <mergeCell ref="A1124:N1124"/>
    <mergeCell ref="A1114:L1114"/>
    <mergeCell ref="M1114:N1114"/>
    <mergeCell ref="A1116:N1116"/>
    <mergeCell ref="A1117:N1117"/>
    <mergeCell ref="A1118:N1118"/>
    <mergeCell ref="A1119:N1119"/>
    <mergeCell ref="A1109:N1109"/>
    <mergeCell ref="A1110:N1110"/>
    <mergeCell ref="A1111:N1111"/>
    <mergeCell ref="A1112:N1112"/>
    <mergeCell ref="A1113:L1113"/>
    <mergeCell ref="M1113:N1113"/>
    <mergeCell ref="A1104:N1104"/>
    <mergeCell ref="A1105:N1105"/>
    <mergeCell ref="A1106:L1106"/>
    <mergeCell ref="M1106:N1106"/>
    <mergeCell ref="A1107:L1107"/>
    <mergeCell ref="M1107:N1107"/>
    <mergeCell ref="A1099:C1099"/>
    <mergeCell ref="M1099:N1099"/>
    <mergeCell ref="A1100:C1100"/>
    <mergeCell ref="M1100:N1100"/>
    <mergeCell ref="A1102:N1102"/>
    <mergeCell ref="A1103:N1103"/>
    <mergeCell ref="A1096:C1096"/>
    <mergeCell ref="M1096:N1096"/>
    <mergeCell ref="A1097:C1097"/>
    <mergeCell ref="M1097:N1097"/>
    <mergeCell ref="A1098:C1098"/>
    <mergeCell ref="M1098:N1098"/>
    <mergeCell ref="A1093:C1093"/>
    <mergeCell ref="M1093:N1093"/>
    <mergeCell ref="A1094:C1094"/>
    <mergeCell ref="M1094:N1094"/>
    <mergeCell ref="A1095:C1095"/>
    <mergeCell ref="M1095:N1095"/>
    <mergeCell ref="A1090:C1091"/>
    <mergeCell ref="D1090:H1090"/>
    <mergeCell ref="I1090:N1090"/>
    <mergeCell ref="M1091:N1091"/>
    <mergeCell ref="A1092:C1092"/>
    <mergeCell ref="M1092:N1092"/>
    <mergeCell ref="A1086:N1086"/>
    <mergeCell ref="B1087:N1087"/>
    <mergeCell ref="B1088:K1088"/>
    <mergeCell ref="L1088:M1088"/>
    <mergeCell ref="E1089:G1089"/>
    <mergeCell ref="H1089:N1089"/>
    <mergeCell ref="A1081:L1081"/>
    <mergeCell ref="M1081:N1081"/>
    <mergeCell ref="A1082:N1082"/>
    <mergeCell ref="A1083:N1083"/>
    <mergeCell ref="A1084:N1084"/>
    <mergeCell ref="A1085:N1085"/>
    <mergeCell ref="A1076:N1076"/>
    <mergeCell ref="A1077:N1077"/>
    <mergeCell ref="A1078:N1078"/>
    <mergeCell ref="A1079:N1079"/>
    <mergeCell ref="A1080:L1080"/>
    <mergeCell ref="M1080:N1080"/>
    <mergeCell ref="A1071:N1071"/>
    <mergeCell ref="A1072:N1072"/>
    <mergeCell ref="A1073:L1073"/>
    <mergeCell ref="M1073:N1073"/>
    <mergeCell ref="A1074:L1074"/>
    <mergeCell ref="M1074:N1074"/>
    <mergeCell ref="A1066:L1066"/>
    <mergeCell ref="M1066:N1066"/>
    <mergeCell ref="A1067:L1067"/>
    <mergeCell ref="M1067:N1067"/>
    <mergeCell ref="A1069:N1069"/>
    <mergeCell ref="A1070:N1070"/>
    <mergeCell ref="A1060:L1060"/>
    <mergeCell ref="M1060:N1060"/>
    <mergeCell ref="A1062:N1062"/>
    <mergeCell ref="A1063:N1063"/>
    <mergeCell ref="A1064:N1064"/>
    <mergeCell ref="A1065:N1065"/>
    <mergeCell ref="A1055:N1055"/>
    <mergeCell ref="A1056:N1056"/>
    <mergeCell ref="A1057:N1057"/>
    <mergeCell ref="A1058:N1058"/>
    <mergeCell ref="A1059:L1059"/>
    <mergeCell ref="M1059:N1059"/>
    <mergeCell ref="A1051:C1051"/>
    <mergeCell ref="M1051:N1051"/>
    <mergeCell ref="A1052:C1052"/>
    <mergeCell ref="M1052:N1052"/>
    <mergeCell ref="A1053:C1053"/>
    <mergeCell ref="M1053:N1053"/>
    <mergeCell ref="A1048:C1048"/>
    <mergeCell ref="M1048:N1048"/>
    <mergeCell ref="A1049:C1049"/>
    <mergeCell ref="M1049:N1049"/>
    <mergeCell ref="A1050:C1050"/>
    <mergeCell ref="M1050:N1050"/>
    <mergeCell ref="A1045:C1045"/>
    <mergeCell ref="M1045:N1045"/>
    <mergeCell ref="A1046:C1046"/>
    <mergeCell ref="M1046:N1046"/>
    <mergeCell ref="A1047:C1047"/>
    <mergeCell ref="M1047:N1047"/>
    <mergeCell ref="B1041:K1041"/>
    <mergeCell ref="L1041:M1041"/>
    <mergeCell ref="E1042:G1042"/>
    <mergeCell ref="H1042:N1042"/>
    <mergeCell ref="A1043:C1044"/>
    <mergeCell ref="D1043:H1043"/>
    <mergeCell ref="I1043:N1043"/>
    <mergeCell ref="M1044:N1044"/>
    <mergeCell ref="A1035:N1035"/>
    <mergeCell ref="A1036:N1036"/>
    <mergeCell ref="A1037:N1037"/>
    <mergeCell ref="A1038:N1038"/>
    <mergeCell ref="A1039:N1039"/>
    <mergeCell ref="B1040:N1040"/>
    <mergeCell ref="A1031:N1031"/>
    <mergeCell ref="A1032:N1032"/>
    <mergeCell ref="A1033:L1033"/>
    <mergeCell ref="M1033:N1033"/>
    <mergeCell ref="A1034:L1034"/>
    <mergeCell ref="M1034:N1034"/>
    <mergeCell ref="A1026:L1026"/>
    <mergeCell ref="M1026:N1026"/>
    <mergeCell ref="A1027:L1027"/>
    <mergeCell ref="M1027:N1027"/>
    <mergeCell ref="A1029:N1029"/>
    <mergeCell ref="A1030:N1030"/>
    <mergeCell ref="A1020:L1020"/>
    <mergeCell ref="M1020:N1020"/>
    <mergeCell ref="A1022:N1022"/>
    <mergeCell ref="A1023:N1023"/>
    <mergeCell ref="A1024:N1024"/>
    <mergeCell ref="A1025:N1025"/>
    <mergeCell ref="A1015:N1015"/>
    <mergeCell ref="A1016:N1016"/>
    <mergeCell ref="A1017:N1017"/>
    <mergeCell ref="A1018:N1018"/>
    <mergeCell ref="A1019:L1019"/>
    <mergeCell ref="M1019:N1019"/>
    <mergeCell ref="A1010:N1010"/>
    <mergeCell ref="A1011:N1011"/>
    <mergeCell ref="A1012:L1012"/>
    <mergeCell ref="M1012:N1012"/>
    <mergeCell ref="A1013:L1013"/>
    <mergeCell ref="M1013:N1013"/>
    <mergeCell ref="A1005:C1005"/>
    <mergeCell ref="M1005:N1005"/>
    <mergeCell ref="A1006:C1006"/>
    <mergeCell ref="M1006:N1006"/>
    <mergeCell ref="A1008:N1008"/>
    <mergeCell ref="A1009:N1009"/>
    <mergeCell ref="A1002:C1002"/>
    <mergeCell ref="M1002:N1002"/>
    <mergeCell ref="A1003:C1003"/>
    <mergeCell ref="M1003:N1003"/>
    <mergeCell ref="A1004:C1004"/>
    <mergeCell ref="M1004:N1004"/>
    <mergeCell ref="A999:C999"/>
    <mergeCell ref="M999:N999"/>
    <mergeCell ref="A1000:C1000"/>
    <mergeCell ref="M1000:N1000"/>
    <mergeCell ref="A1001:C1001"/>
    <mergeCell ref="M1001:N1001"/>
    <mergeCell ref="A996:C997"/>
    <mergeCell ref="D996:H996"/>
    <mergeCell ref="I996:N996"/>
    <mergeCell ref="M997:N997"/>
    <mergeCell ref="A998:C998"/>
    <mergeCell ref="M998:N998"/>
    <mergeCell ref="A992:N992"/>
    <mergeCell ref="B993:N993"/>
    <mergeCell ref="B994:K994"/>
    <mergeCell ref="L994:M994"/>
    <mergeCell ref="E995:G995"/>
    <mergeCell ref="H995:N995"/>
    <mergeCell ref="A987:L987"/>
    <mergeCell ref="M987:N987"/>
    <mergeCell ref="A988:N988"/>
    <mergeCell ref="A989:N989"/>
    <mergeCell ref="A990:N990"/>
    <mergeCell ref="A991:N991"/>
    <mergeCell ref="A982:N982"/>
    <mergeCell ref="A983:N983"/>
    <mergeCell ref="A984:N984"/>
    <mergeCell ref="A985:N985"/>
    <mergeCell ref="A986:L986"/>
    <mergeCell ref="M986:N986"/>
    <mergeCell ref="A977:N977"/>
    <mergeCell ref="A978:N978"/>
    <mergeCell ref="A979:L979"/>
    <mergeCell ref="M979:N979"/>
    <mergeCell ref="A980:L980"/>
    <mergeCell ref="M980:N980"/>
    <mergeCell ref="A972:L972"/>
    <mergeCell ref="M972:N972"/>
    <mergeCell ref="A973:L973"/>
    <mergeCell ref="M973:N973"/>
    <mergeCell ref="A975:N975"/>
    <mergeCell ref="A976:N976"/>
    <mergeCell ref="A966:L966"/>
    <mergeCell ref="M966:N966"/>
    <mergeCell ref="A968:N968"/>
    <mergeCell ref="A969:N969"/>
    <mergeCell ref="A970:N970"/>
    <mergeCell ref="A971:N971"/>
    <mergeCell ref="A961:N961"/>
    <mergeCell ref="A962:N962"/>
    <mergeCell ref="A963:N963"/>
    <mergeCell ref="A964:N964"/>
    <mergeCell ref="A965:L965"/>
    <mergeCell ref="M965:N965"/>
    <mergeCell ref="A957:C957"/>
    <mergeCell ref="M957:N957"/>
    <mergeCell ref="A958:C958"/>
    <mergeCell ref="M958:N958"/>
    <mergeCell ref="A959:C959"/>
    <mergeCell ref="M959:N959"/>
    <mergeCell ref="A954:C954"/>
    <mergeCell ref="M954:N954"/>
    <mergeCell ref="A955:C955"/>
    <mergeCell ref="M955:N955"/>
    <mergeCell ref="A956:C956"/>
    <mergeCell ref="M956:N956"/>
    <mergeCell ref="A951:C951"/>
    <mergeCell ref="M951:N951"/>
    <mergeCell ref="A952:C952"/>
    <mergeCell ref="M952:N952"/>
    <mergeCell ref="A953:C953"/>
    <mergeCell ref="M953:N953"/>
    <mergeCell ref="B947:K947"/>
    <mergeCell ref="L947:M947"/>
    <mergeCell ref="E948:G948"/>
    <mergeCell ref="H948:N948"/>
    <mergeCell ref="A949:C950"/>
    <mergeCell ref="D949:H949"/>
    <mergeCell ref="I949:N949"/>
    <mergeCell ref="M950:N950"/>
    <mergeCell ref="A941:N941"/>
    <mergeCell ref="A942:N942"/>
    <mergeCell ref="A943:N943"/>
    <mergeCell ref="A944:N944"/>
    <mergeCell ref="A945:N945"/>
    <mergeCell ref="B946:N946"/>
    <mergeCell ref="A937:N937"/>
    <mergeCell ref="A938:N938"/>
    <mergeCell ref="A939:L939"/>
    <mergeCell ref="M939:N939"/>
    <mergeCell ref="A940:L940"/>
    <mergeCell ref="M940:N940"/>
    <mergeCell ref="A932:L932"/>
    <mergeCell ref="M932:N932"/>
    <mergeCell ref="A933:L933"/>
    <mergeCell ref="M933:N933"/>
    <mergeCell ref="A935:N935"/>
    <mergeCell ref="A936:N936"/>
    <mergeCell ref="A926:L926"/>
    <mergeCell ref="M926:N926"/>
    <mergeCell ref="A928:N928"/>
    <mergeCell ref="A929:N929"/>
    <mergeCell ref="A930:N930"/>
    <mergeCell ref="A931:N931"/>
    <mergeCell ref="A921:N921"/>
    <mergeCell ref="A922:N922"/>
    <mergeCell ref="A923:N923"/>
    <mergeCell ref="A924:N924"/>
    <mergeCell ref="A925:L925"/>
    <mergeCell ref="M925:N925"/>
    <mergeCell ref="A916:N916"/>
    <mergeCell ref="A917:N917"/>
    <mergeCell ref="A918:L918"/>
    <mergeCell ref="M918:N918"/>
    <mergeCell ref="A919:L919"/>
    <mergeCell ref="M919:N919"/>
    <mergeCell ref="A911:C911"/>
    <mergeCell ref="M911:N911"/>
    <mergeCell ref="A912:C912"/>
    <mergeCell ref="M912:N912"/>
    <mergeCell ref="A914:N914"/>
    <mergeCell ref="A915:N915"/>
    <mergeCell ref="A908:C908"/>
    <mergeCell ref="M908:N908"/>
    <mergeCell ref="A909:C909"/>
    <mergeCell ref="M909:N909"/>
    <mergeCell ref="A910:C910"/>
    <mergeCell ref="M910:N910"/>
    <mergeCell ref="A905:C905"/>
    <mergeCell ref="M905:N905"/>
    <mergeCell ref="A906:C906"/>
    <mergeCell ref="M906:N906"/>
    <mergeCell ref="A907:C907"/>
    <mergeCell ref="M907:N907"/>
    <mergeCell ref="A902:C903"/>
    <mergeCell ref="D902:H902"/>
    <mergeCell ref="I902:N902"/>
    <mergeCell ref="M903:N903"/>
    <mergeCell ref="A904:C904"/>
    <mergeCell ref="M904:N904"/>
    <mergeCell ref="A898:N898"/>
    <mergeCell ref="B899:N899"/>
    <mergeCell ref="B900:K900"/>
    <mergeCell ref="L900:M900"/>
    <mergeCell ref="E901:G901"/>
    <mergeCell ref="H901:N901"/>
    <mergeCell ref="A893:L893"/>
    <mergeCell ref="M893:N893"/>
    <mergeCell ref="A894:N894"/>
    <mergeCell ref="A895:N895"/>
    <mergeCell ref="A896:N896"/>
    <mergeCell ref="A897:N897"/>
    <mergeCell ref="A888:N888"/>
    <mergeCell ref="A889:N889"/>
    <mergeCell ref="A890:N890"/>
    <mergeCell ref="A891:N891"/>
    <mergeCell ref="A892:L892"/>
    <mergeCell ref="M892:N892"/>
    <mergeCell ref="A883:N883"/>
    <mergeCell ref="A884:N884"/>
    <mergeCell ref="A885:L885"/>
    <mergeCell ref="M885:N885"/>
    <mergeCell ref="A886:L886"/>
    <mergeCell ref="M886:N886"/>
    <mergeCell ref="A878:L878"/>
    <mergeCell ref="M878:N878"/>
    <mergeCell ref="A879:L879"/>
    <mergeCell ref="M879:N879"/>
    <mergeCell ref="A881:N881"/>
    <mergeCell ref="A882:N882"/>
    <mergeCell ref="A872:L872"/>
    <mergeCell ref="M872:N872"/>
    <mergeCell ref="A874:N874"/>
    <mergeCell ref="A875:N875"/>
    <mergeCell ref="A876:N876"/>
    <mergeCell ref="A877:N877"/>
    <mergeCell ref="A867:N867"/>
    <mergeCell ref="A868:N868"/>
    <mergeCell ref="A869:N869"/>
    <mergeCell ref="A870:N870"/>
    <mergeCell ref="A871:L871"/>
    <mergeCell ref="M871:N871"/>
    <mergeCell ref="A863:C863"/>
    <mergeCell ref="M863:N863"/>
    <mergeCell ref="A864:C864"/>
    <mergeCell ref="M864:N864"/>
    <mergeCell ref="A865:C865"/>
    <mergeCell ref="M865:N865"/>
    <mergeCell ref="A860:C860"/>
    <mergeCell ref="M860:N860"/>
    <mergeCell ref="A861:C861"/>
    <mergeCell ref="M861:N861"/>
    <mergeCell ref="A862:C862"/>
    <mergeCell ref="M862:N862"/>
    <mergeCell ref="A857:C857"/>
    <mergeCell ref="M857:N857"/>
    <mergeCell ref="A858:C858"/>
    <mergeCell ref="M858:N858"/>
    <mergeCell ref="A859:C859"/>
    <mergeCell ref="M859:N859"/>
    <mergeCell ref="B853:K853"/>
    <mergeCell ref="L853:M853"/>
    <mergeCell ref="E854:G854"/>
    <mergeCell ref="H854:N854"/>
    <mergeCell ref="A855:C856"/>
    <mergeCell ref="D855:H855"/>
    <mergeCell ref="I855:N855"/>
    <mergeCell ref="M856:N856"/>
    <mergeCell ref="A847:N847"/>
    <mergeCell ref="A848:N848"/>
    <mergeCell ref="A849:N849"/>
    <mergeCell ref="A850:N850"/>
    <mergeCell ref="A851:N851"/>
    <mergeCell ref="B852:N852"/>
    <mergeCell ref="A843:N843"/>
    <mergeCell ref="A844:N844"/>
    <mergeCell ref="A845:L845"/>
    <mergeCell ref="M845:N845"/>
    <mergeCell ref="A846:L846"/>
    <mergeCell ref="M846:N846"/>
    <mergeCell ref="A838:L838"/>
    <mergeCell ref="M838:N838"/>
    <mergeCell ref="A839:L839"/>
    <mergeCell ref="M839:N839"/>
    <mergeCell ref="A841:N841"/>
    <mergeCell ref="A842:N842"/>
    <mergeCell ref="A832:L832"/>
    <mergeCell ref="M832:N832"/>
    <mergeCell ref="A834:N834"/>
    <mergeCell ref="A835:N835"/>
    <mergeCell ref="A836:N836"/>
    <mergeCell ref="A837:N837"/>
    <mergeCell ref="A827:N827"/>
    <mergeCell ref="A828:N828"/>
    <mergeCell ref="A829:N829"/>
    <mergeCell ref="A830:N830"/>
    <mergeCell ref="A831:L831"/>
    <mergeCell ref="M831:N831"/>
    <mergeCell ref="A822:N822"/>
    <mergeCell ref="A823:N823"/>
    <mergeCell ref="A824:L824"/>
    <mergeCell ref="M824:N824"/>
    <mergeCell ref="A825:L825"/>
    <mergeCell ref="M825:N825"/>
    <mergeCell ref="A817:C817"/>
    <mergeCell ref="M817:N817"/>
    <mergeCell ref="A818:C818"/>
    <mergeCell ref="M818:N818"/>
    <mergeCell ref="A820:N820"/>
    <mergeCell ref="A821:N821"/>
    <mergeCell ref="A814:C814"/>
    <mergeCell ref="M814:N814"/>
    <mergeCell ref="A815:C815"/>
    <mergeCell ref="M815:N815"/>
    <mergeCell ref="A816:C816"/>
    <mergeCell ref="M816:N816"/>
    <mergeCell ref="A811:C811"/>
    <mergeCell ref="M811:N811"/>
    <mergeCell ref="A812:C812"/>
    <mergeCell ref="M812:N812"/>
    <mergeCell ref="A813:C813"/>
    <mergeCell ref="M813:N813"/>
    <mergeCell ref="A808:C809"/>
    <mergeCell ref="D808:H808"/>
    <mergeCell ref="I808:N808"/>
    <mergeCell ref="M809:N809"/>
    <mergeCell ref="A810:C810"/>
    <mergeCell ref="M810:N810"/>
    <mergeCell ref="A804:N804"/>
    <mergeCell ref="B805:N805"/>
    <mergeCell ref="B806:K806"/>
    <mergeCell ref="L806:M806"/>
    <mergeCell ref="E807:G807"/>
    <mergeCell ref="H807:N807"/>
    <mergeCell ref="A799:L799"/>
    <mergeCell ref="M799:N799"/>
    <mergeCell ref="A800:N800"/>
    <mergeCell ref="A801:N801"/>
    <mergeCell ref="A802:N802"/>
    <mergeCell ref="A803:N803"/>
    <mergeCell ref="A794:N794"/>
    <mergeCell ref="A795:N795"/>
    <mergeCell ref="A796:N796"/>
    <mergeCell ref="A797:N797"/>
    <mergeCell ref="A798:L798"/>
    <mergeCell ref="M798:N798"/>
    <mergeCell ref="A789:N789"/>
    <mergeCell ref="A790:N790"/>
    <mergeCell ref="A791:L791"/>
    <mergeCell ref="M791:N791"/>
    <mergeCell ref="A792:L792"/>
    <mergeCell ref="M792:N792"/>
    <mergeCell ref="A784:L784"/>
    <mergeCell ref="M784:N784"/>
    <mergeCell ref="A785:L785"/>
    <mergeCell ref="M785:N785"/>
    <mergeCell ref="A787:N787"/>
    <mergeCell ref="A788:N788"/>
    <mergeCell ref="A778:L778"/>
    <mergeCell ref="M778:N778"/>
    <mergeCell ref="A780:N780"/>
    <mergeCell ref="A781:N781"/>
    <mergeCell ref="A782:N782"/>
    <mergeCell ref="A783:N783"/>
    <mergeCell ref="A773:N773"/>
    <mergeCell ref="A774:N774"/>
    <mergeCell ref="A775:N775"/>
    <mergeCell ref="A776:N776"/>
    <mergeCell ref="A777:L777"/>
    <mergeCell ref="M777:N777"/>
    <mergeCell ref="A769:C769"/>
    <mergeCell ref="M769:N769"/>
    <mergeCell ref="A770:C770"/>
    <mergeCell ref="M770:N770"/>
    <mergeCell ref="A771:C771"/>
    <mergeCell ref="M771:N771"/>
    <mergeCell ref="A766:C766"/>
    <mergeCell ref="M766:N766"/>
    <mergeCell ref="A767:C767"/>
    <mergeCell ref="M767:N767"/>
    <mergeCell ref="A768:C768"/>
    <mergeCell ref="M768:N768"/>
    <mergeCell ref="A763:C763"/>
    <mergeCell ref="M763:N763"/>
    <mergeCell ref="A764:C764"/>
    <mergeCell ref="M764:N764"/>
    <mergeCell ref="A765:C765"/>
    <mergeCell ref="M765:N765"/>
    <mergeCell ref="B759:K759"/>
    <mergeCell ref="L759:M759"/>
    <mergeCell ref="E760:G760"/>
    <mergeCell ref="H760:N760"/>
    <mergeCell ref="A761:C762"/>
    <mergeCell ref="D761:H761"/>
    <mergeCell ref="I761:N761"/>
    <mergeCell ref="M762:N762"/>
    <mergeCell ref="A753:N753"/>
    <mergeCell ref="A754:N754"/>
    <mergeCell ref="A755:N755"/>
    <mergeCell ref="A756:N756"/>
    <mergeCell ref="A757:N757"/>
    <mergeCell ref="B758:N758"/>
    <mergeCell ref="A749:N749"/>
    <mergeCell ref="A750:N750"/>
    <mergeCell ref="A751:L751"/>
    <mergeCell ref="M751:N751"/>
    <mergeCell ref="A752:L752"/>
    <mergeCell ref="M752:N752"/>
    <mergeCell ref="A744:L744"/>
    <mergeCell ref="M744:N744"/>
    <mergeCell ref="A745:L745"/>
    <mergeCell ref="M745:N745"/>
    <mergeCell ref="A747:N747"/>
    <mergeCell ref="A748:N748"/>
    <mergeCell ref="A738:L738"/>
    <mergeCell ref="M738:N738"/>
    <mergeCell ref="A740:N740"/>
    <mergeCell ref="A741:N741"/>
    <mergeCell ref="A742:N742"/>
    <mergeCell ref="A743:N743"/>
    <mergeCell ref="A733:N733"/>
    <mergeCell ref="A734:N734"/>
    <mergeCell ref="A735:N735"/>
    <mergeCell ref="A736:N736"/>
    <mergeCell ref="A737:L737"/>
    <mergeCell ref="M737:N737"/>
    <mergeCell ref="A728:N728"/>
    <mergeCell ref="A729:N729"/>
    <mergeCell ref="A730:L730"/>
    <mergeCell ref="M730:N730"/>
    <mergeCell ref="A731:L731"/>
    <mergeCell ref="M731:N731"/>
    <mergeCell ref="A723:C723"/>
    <mergeCell ref="M723:N723"/>
    <mergeCell ref="A724:C724"/>
    <mergeCell ref="M724:N724"/>
    <mergeCell ref="A726:N726"/>
    <mergeCell ref="A727:N727"/>
    <mergeCell ref="A720:C720"/>
    <mergeCell ref="M720:N720"/>
    <mergeCell ref="A721:C721"/>
    <mergeCell ref="M721:N721"/>
    <mergeCell ref="A722:C722"/>
    <mergeCell ref="M722:N722"/>
    <mergeCell ref="A717:C717"/>
    <mergeCell ref="M717:N717"/>
    <mergeCell ref="A718:C718"/>
    <mergeCell ref="M718:N718"/>
    <mergeCell ref="A719:C719"/>
    <mergeCell ref="M719:N719"/>
    <mergeCell ref="A714:C715"/>
    <mergeCell ref="D714:H714"/>
    <mergeCell ref="I714:N714"/>
    <mergeCell ref="M715:N715"/>
    <mergeCell ref="A716:C716"/>
    <mergeCell ref="M716:N716"/>
    <mergeCell ref="A710:N710"/>
    <mergeCell ref="B711:N711"/>
    <mergeCell ref="B712:K712"/>
    <mergeCell ref="L712:M712"/>
    <mergeCell ref="E713:G713"/>
    <mergeCell ref="H713:N713"/>
    <mergeCell ref="A705:L705"/>
    <mergeCell ref="M705:N705"/>
    <mergeCell ref="A706:N706"/>
    <mergeCell ref="A707:N707"/>
    <mergeCell ref="A708:N708"/>
    <mergeCell ref="A709:N709"/>
    <mergeCell ref="A700:N700"/>
    <mergeCell ref="A701:N701"/>
    <mergeCell ref="A702:N702"/>
    <mergeCell ref="A703:N703"/>
    <mergeCell ref="A704:L704"/>
    <mergeCell ref="M704:N704"/>
    <mergeCell ref="A695:N695"/>
    <mergeCell ref="A696:N696"/>
    <mergeCell ref="A697:L697"/>
    <mergeCell ref="M697:N697"/>
    <mergeCell ref="A698:L698"/>
    <mergeCell ref="M698:N698"/>
    <mergeCell ref="A690:L690"/>
    <mergeCell ref="M690:N690"/>
    <mergeCell ref="A691:L691"/>
    <mergeCell ref="M691:N691"/>
    <mergeCell ref="A693:N693"/>
    <mergeCell ref="A694:N694"/>
    <mergeCell ref="A684:L684"/>
    <mergeCell ref="M684:N684"/>
    <mergeCell ref="A686:N686"/>
    <mergeCell ref="A687:N687"/>
    <mergeCell ref="A688:N688"/>
    <mergeCell ref="A689:N689"/>
    <mergeCell ref="A679:N679"/>
    <mergeCell ref="A680:N680"/>
    <mergeCell ref="A681:N681"/>
    <mergeCell ref="A682:N682"/>
    <mergeCell ref="A683:L683"/>
    <mergeCell ref="M683:N683"/>
    <mergeCell ref="A675:C675"/>
    <mergeCell ref="M675:N675"/>
    <mergeCell ref="A676:C676"/>
    <mergeCell ref="M676:N676"/>
    <mergeCell ref="A677:C677"/>
    <mergeCell ref="M677:N677"/>
    <mergeCell ref="A672:C672"/>
    <mergeCell ref="M672:N672"/>
    <mergeCell ref="A673:C673"/>
    <mergeCell ref="M673:N673"/>
    <mergeCell ref="A674:C674"/>
    <mergeCell ref="M674:N674"/>
    <mergeCell ref="A669:C669"/>
    <mergeCell ref="M669:N669"/>
    <mergeCell ref="A670:C670"/>
    <mergeCell ref="M670:N670"/>
    <mergeCell ref="A671:C671"/>
    <mergeCell ref="M671:N671"/>
    <mergeCell ref="B665:K665"/>
    <mergeCell ref="L665:M665"/>
    <mergeCell ref="E666:G666"/>
    <mergeCell ref="H666:N666"/>
    <mergeCell ref="A667:C668"/>
    <mergeCell ref="D667:H667"/>
    <mergeCell ref="I667:N667"/>
    <mergeCell ref="M668:N668"/>
    <mergeCell ref="A659:N659"/>
    <mergeCell ref="A660:N660"/>
    <mergeCell ref="A661:N661"/>
    <mergeCell ref="A662:N662"/>
    <mergeCell ref="A663:N663"/>
    <mergeCell ref="B664:N664"/>
    <mergeCell ref="A655:N655"/>
    <mergeCell ref="A656:N656"/>
    <mergeCell ref="A657:L657"/>
    <mergeCell ref="M657:N657"/>
    <mergeCell ref="A658:L658"/>
    <mergeCell ref="M658:N658"/>
    <mergeCell ref="A650:L650"/>
    <mergeCell ref="M650:N650"/>
    <mergeCell ref="A651:L651"/>
    <mergeCell ref="M651:N651"/>
    <mergeCell ref="A653:N653"/>
    <mergeCell ref="A654:N654"/>
    <mergeCell ref="A644:L644"/>
    <mergeCell ref="M644:N644"/>
    <mergeCell ref="A646:N646"/>
    <mergeCell ref="A647:N647"/>
    <mergeCell ref="A648:N648"/>
    <mergeCell ref="A649:N649"/>
    <mergeCell ref="A639:N639"/>
    <mergeCell ref="A640:N640"/>
    <mergeCell ref="A641:N641"/>
    <mergeCell ref="A642:N642"/>
    <mergeCell ref="A643:L643"/>
    <mergeCell ref="M643:N643"/>
    <mergeCell ref="A634:N634"/>
    <mergeCell ref="A635:N635"/>
    <mergeCell ref="A636:L636"/>
    <mergeCell ref="M636:N636"/>
    <mergeCell ref="A637:L637"/>
    <mergeCell ref="M637:N637"/>
    <mergeCell ref="A629:C629"/>
    <mergeCell ref="M629:N629"/>
    <mergeCell ref="A630:C630"/>
    <mergeCell ref="M630:N630"/>
    <mergeCell ref="A632:N632"/>
    <mergeCell ref="A633:N633"/>
    <mergeCell ref="A626:C626"/>
    <mergeCell ref="M626:N626"/>
    <mergeCell ref="A627:C627"/>
    <mergeCell ref="M627:N627"/>
    <mergeCell ref="A628:C628"/>
    <mergeCell ref="M628:N628"/>
    <mergeCell ref="A623:C623"/>
    <mergeCell ref="M623:N623"/>
    <mergeCell ref="A624:C624"/>
    <mergeCell ref="M624:N624"/>
    <mergeCell ref="A625:C625"/>
    <mergeCell ref="M625:N625"/>
    <mergeCell ref="A620:C621"/>
    <mergeCell ref="D620:H620"/>
    <mergeCell ref="I620:N620"/>
    <mergeCell ref="M621:N621"/>
    <mergeCell ref="A622:C622"/>
    <mergeCell ref="M622:N622"/>
    <mergeCell ref="A616:N616"/>
    <mergeCell ref="B617:N617"/>
    <mergeCell ref="B618:K618"/>
    <mergeCell ref="L618:M618"/>
    <mergeCell ref="E619:G619"/>
    <mergeCell ref="H619:N619"/>
    <mergeCell ref="A611:L611"/>
    <mergeCell ref="M611:N611"/>
    <mergeCell ref="A612:N612"/>
    <mergeCell ref="A613:N613"/>
    <mergeCell ref="A614:N614"/>
    <mergeCell ref="A615:N615"/>
    <mergeCell ref="A606:N606"/>
    <mergeCell ref="A607:N607"/>
    <mergeCell ref="A608:N608"/>
    <mergeCell ref="A609:N609"/>
    <mergeCell ref="A610:L610"/>
    <mergeCell ref="M610:N610"/>
    <mergeCell ref="A601:N601"/>
    <mergeCell ref="A602:N602"/>
    <mergeCell ref="A603:L603"/>
    <mergeCell ref="M603:N603"/>
    <mergeCell ref="A604:L604"/>
    <mergeCell ref="M604:N604"/>
    <mergeCell ref="A596:L596"/>
    <mergeCell ref="M596:N596"/>
    <mergeCell ref="A597:L597"/>
    <mergeCell ref="M597:N597"/>
    <mergeCell ref="A599:N599"/>
    <mergeCell ref="A600:N600"/>
    <mergeCell ref="A590:L590"/>
    <mergeCell ref="M590:N590"/>
    <mergeCell ref="A592:N592"/>
    <mergeCell ref="A593:N593"/>
    <mergeCell ref="A594:N594"/>
    <mergeCell ref="A595:N595"/>
    <mergeCell ref="A585:N585"/>
    <mergeCell ref="A586:N586"/>
    <mergeCell ref="A587:N587"/>
    <mergeCell ref="A588:N588"/>
    <mergeCell ref="A589:L589"/>
    <mergeCell ref="M589:N589"/>
    <mergeCell ref="A581:C581"/>
    <mergeCell ref="M581:N581"/>
    <mergeCell ref="A582:C582"/>
    <mergeCell ref="M582:N582"/>
    <mergeCell ref="A583:C583"/>
    <mergeCell ref="M583:N583"/>
    <mergeCell ref="A578:C578"/>
    <mergeCell ref="M578:N578"/>
    <mergeCell ref="A579:C579"/>
    <mergeCell ref="M579:N579"/>
    <mergeCell ref="A580:C580"/>
    <mergeCell ref="M580:N580"/>
    <mergeCell ref="A575:C575"/>
    <mergeCell ref="M575:N575"/>
    <mergeCell ref="A576:C576"/>
    <mergeCell ref="M576:N576"/>
    <mergeCell ref="A577:C577"/>
    <mergeCell ref="M577:N577"/>
    <mergeCell ref="B571:K571"/>
    <mergeCell ref="L571:M571"/>
    <mergeCell ref="E572:G572"/>
    <mergeCell ref="H572:N572"/>
    <mergeCell ref="A573:C574"/>
    <mergeCell ref="D573:H573"/>
    <mergeCell ref="I573:N573"/>
    <mergeCell ref="M574:N574"/>
    <mergeCell ref="A565:N565"/>
    <mergeCell ref="A566:N566"/>
    <mergeCell ref="A567:N567"/>
    <mergeCell ref="A568:N568"/>
    <mergeCell ref="A569:N569"/>
    <mergeCell ref="B570:N570"/>
    <mergeCell ref="A561:N561"/>
    <mergeCell ref="A562:N562"/>
    <mergeCell ref="A563:L563"/>
    <mergeCell ref="M563:N563"/>
    <mergeCell ref="A564:L564"/>
    <mergeCell ref="M564:N564"/>
    <mergeCell ref="A556:L556"/>
    <mergeCell ref="M556:N556"/>
    <mergeCell ref="A557:L557"/>
    <mergeCell ref="M557:N557"/>
    <mergeCell ref="A559:N559"/>
    <mergeCell ref="A560:N560"/>
    <mergeCell ref="A550:L550"/>
    <mergeCell ref="M550:N550"/>
    <mergeCell ref="A552:N552"/>
    <mergeCell ref="A553:N553"/>
    <mergeCell ref="A554:N554"/>
    <mergeCell ref="A555:N555"/>
    <mergeCell ref="A545:N545"/>
    <mergeCell ref="A546:N546"/>
    <mergeCell ref="A547:N547"/>
    <mergeCell ref="A548:N548"/>
    <mergeCell ref="A549:L549"/>
    <mergeCell ref="M549:N549"/>
    <mergeCell ref="A540:N540"/>
    <mergeCell ref="A541:N541"/>
    <mergeCell ref="A542:L542"/>
    <mergeCell ref="M542:N542"/>
    <mergeCell ref="A543:L543"/>
    <mergeCell ref="M543:N543"/>
    <mergeCell ref="A535:C535"/>
    <mergeCell ref="M535:N535"/>
    <mergeCell ref="A536:C536"/>
    <mergeCell ref="M536:N536"/>
    <mergeCell ref="A538:N538"/>
    <mergeCell ref="A539:N539"/>
    <mergeCell ref="A532:C532"/>
    <mergeCell ref="M532:N532"/>
    <mergeCell ref="A533:C533"/>
    <mergeCell ref="M533:N533"/>
    <mergeCell ref="A534:C534"/>
    <mergeCell ref="M534:N534"/>
    <mergeCell ref="A529:C529"/>
    <mergeCell ref="M529:N529"/>
    <mergeCell ref="A530:C530"/>
    <mergeCell ref="M530:N530"/>
    <mergeCell ref="A531:C531"/>
    <mergeCell ref="M531:N531"/>
    <mergeCell ref="A526:C527"/>
    <mergeCell ref="D526:H526"/>
    <mergeCell ref="I526:N526"/>
    <mergeCell ref="M527:N527"/>
    <mergeCell ref="A528:C528"/>
    <mergeCell ref="M528:N528"/>
    <mergeCell ref="A522:N522"/>
    <mergeCell ref="B523:N523"/>
    <mergeCell ref="B524:K524"/>
    <mergeCell ref="L524:M524"/>
    <mergeCell ref="E525:G525"/>
    <mergeCell ref="H525:N525"/>
    <mergeCell ref="A517:L517"/>
    <mergeCell ref="M517:N517"/>
    <mergeCell ref="A518:N518"/>
    <mergeCell ref="A519:N519"/>
    <mergeCell ref="A520:N520"/>
    <mergeCell ref="A521:N521"/>
    <mergeCell ref="A512:N512"/>
    <mergeCell ref="A513:N513"/>
    <mergeCell ref="A514:N514"/>
    <mergeCell ref="A515:N515"/>
    <mergeCell ref="A516:L516"/>
    <mergeCell ref="M516:N516"/>
    <mergeCell ref="A507:N507"/>
    <mergeCell ref="A508:N508"/>
    <mergeCell ref="A509:L509"/>
    <mergeCell ref="M509:N509"/>
    <mergeCell ref="A510:L510"/>
    <mergeCell ref="M510:N510"/>
    <mergeCell ref="A502:L502"/>
    <mergeCell ref="M502:N502"/>
    <mergeCell ref="A503:L503"/>
    <mergeCell ref="M503:N503"/>
    <mergeCell ref="A505:N505"/>
    <mergeCell ref="A506:N506"/>
    <mergeCell ref="A496:L496"/>
    <mergeCell ref="M496:N496"/>
    <mergeCell ref="A498:N498"/>
    <mergeCell ref="A499:N499"/>
    <mergeCell ref="A500:N500"/>
    <mergeCell ref="A501:N501"/>
    <mergeCell ref="A491:N491"/>
    <mergeCell ref="A492:N492"/>
    <mergeCell ref="A493:N493"/>
    <mergeCell ref="A494:N494"/>
    <mergeCell ref="A495:L495"/>
    <mergeCell ref="M495:N495"/>
    <mergeCell ref="A487:C487"/>
    <mergeCell ref="M487:N487"/>
    <mergeCell ref="A488:C488"/>
    <mergeCell ref="M488:N488"/>
    <mergeCell ref="A489:C489"/>
    <mergeCell ref="M489:N489"/>
    <mergeCell ref="A484:C484"/>
    <mergeCell ref="M484:N484"/>
    <mergeCell ref="A485:C485"/>
    <mergeCell ref="M485:N485"/>
    <mergeCell ref="A486:C486"/>
    <mergeCell ref="M486:N486"/>
    <mergeCell ref="A481:C481"/>
    <mergeCell ref="M481:N481"/>
    <mergeCell ref="A482:C482"/>
    <mergeCell ref="M482:N482"/>
    <mergeCell ref="A483:C483"/>
    <mergeCell ref="M483:N483"/>
    <mergeCell ref="B477:K477"/>
    <mergeCell ref="L477:M477"/>
    <mergeCell ref="E478:G478"/>
    <mergeCell ref="H478:N478"/>
    <mergeCell ref="A479:C480"/>
    <mergeCell ref="D479:H479"/>
    <mergeCell ref="I479:N479"/>
    <mergeCell ref="M480:N480"/>
    <mergeCell ref="A471:N471"/>
    <mergeCell ref="A472:N472"/>
    <mergeCell ref="A473:N473"/>
    <mergeCell ref="A474:N474"/>
    <mergeCell ref="A475:N475"/>
    <mergeCell ref="B476:N476"/>
    <mergeCell ref="A467:N467"/>
    <mergeCell ref="A468:N468"/>
    <mergeCell ref="A469:L469"/>
    <mergeCell ref="M469:N469"/>
    <mergeCell ref="A470:L470"/>
    <mergeCell ref="M470:N470"/>
    <mergeCell ref="A462:L462"/>
    <mergeCell ref="M462:N462"/>
    <mergeCell ref="A463:L463"/>
    <mergeCell ref="M463:N463"/>
    <mergeCell ref="A465:N465"/>
    <mergeCell ref="A466:N466"/>
    <mergeCell ref="A456:L456"/>
    <mergeCell ref="M456:N456"/>
    <mergeCell ref="A458:N458"/>
    <mergeCell ref="A459:N459"/>
    <mergeCell ref="A460:N460"/>
    <mergeCell ref="A461:N461"/>
    <mergeCell ref="A451:N451"/>
    <mergeCell ref="A452:N452"/>
    <mergeCell ref="A453:N453"/>
    <mergeCell ref="A454:N454"/>
    <mergeCell ref="A455:L455"/>
    <mergeCell ref="M455:N455"/>
    <mergeCell ref="A446:N446"/>
    <mergeCell ref="A447:N447"/>
    <mergeCell ref="A448:L448"/>
    <mergeCell ref="M448:N448"/>
    <mergeCell ref="A449:L449"/>
    <mergeCell ref="M449:N449"/>
    <mergeCell ref="A441:C441"/>
    <mergeCell ref="M441:N441"/>
    <mergeCell ref="A442:C442"/>
    <mergeCell ref="M442:N442"/>
    <mergeCell ref="A444:N444"/>
    <mergeCell ref="A445:N445"/>
    <mergeCell ref="A438:C438"/>
    <mergeCell ref="M438:N438"/>
    <mergeCell ref="A439:C439"/>
    <mergeCell ref="M439:N439"/>
    <mergeCell ref="A440:C440"/>
    <mergeCell ref="M440:N440"/>
    <mergeCell ref="A435:C435"/>
    <mergeCell ref="M435:N435"/>
    <mergeCell ref="A436:C436"/>
    <mergeCell ref="M436:N436"/>
    <mergeCell ref="A437:C437"/>
    <mergeCell ref="M437:N437"/>
    <mergeCell ref="A432:C433"/>
    <mergeCell ref="D432:H432"/>
    <mergeCell ref="I432:N432"/>
    <mergeCell ref="M433:N433"/>
    <mergeCell ref="A434:C434"/>
    <mergeCell ref="M434:N434"/>
    <mergeCell ref="A428:N428"/>
    <mergeCell ref="B429:N429"/>
    <mergeCell ref="B430:K430"/>
    <mergeCell ref="L430:M430"/>
    <mergeCell ref="E431:G431"/>
    <mergeCell ref="H431:N431"/>
    <mergeCell ref="A423:L423"/>
    <mergeCell ref="M423:N423"/>
    <mergeCell ref="A424:N424"/>
    <mergeCell ref="A425:N425"/>
    <mergeCell ref="A426:N426"/>
    <mergeCell ref="A427:N427"/>
    <mergeCell ref="A418:N418"/>
    <mergeCell ref="A419:N419"/>
    <mergeCell ref="A420:N420"/>
    <mergeCell ref="A421:N421"/>
    <mergeCell ref="A422:L422"/>
    <mergeCell ref="M422:N422"/>
    <mergeCell ref="A413:N413"/>
    <mergeCell ref="A414:N414"/>
    <mergeCell ref="A415:L415"/>
    <mergeCell ref="M415:N415"/>
    <mergeCell ref="A416:L416"/>
    <mergeCell ref="M416:N416"/>
    <mergeCell ref="A408:L408"/>
    <mergeCell ref="M408:N408"/>
    <mergeCell ref="A409:L409"/>
    <mergeCell ref="M409:N409"/>
    <mergeCell ref="A411:N411"/>
    <mergeCell ref="A412:N412"/>
    <mergeCell ref="A402:L402"/>
    <mergeCell ref="M402:N402"/>
    <mergeCell ref="A404:N404"/>
    <mergeCell ref="A405:N405"/>
    <mergeCell ref="A406:N406"/>
    <mergeCell ref="A407:N407"/>
    <mergeCell ref="A397:N397"/>
    <mergeCell ref="A398:N398"/>
    <mergeCell ref="A399:N399"/>
    <mergeCell ref="A400:N400"/>
    <mergeCell ref="A401:L401"/>
    <mergeCell ref="M401:N401"/>
    <mergeCell ref="A393:C393"/>
    <mergeCell ref="M393:N393"/>
    <mergeCell ref="A394:C394"/>
    <mergeCell ref="M394:N394"/>
    <mergeCell ref="A395:C395"/>
    <mergeCell ref="M395:N395"/>
    <mergeCell ref="A390:C390"/>
    <mergeCell ref="M390:N390"/>
    <mergeCell ref="A391:C391"/>
    <mergeCell ref="M391:N391"/>
    <mergeCell ref="A392:C392"/>
    <mergeCell ref="M392:N392"/>
    <mergeCell ref="A387:C387"/>
    <mergeCell ref="M387:N387"/>
    <mergeCell ref="A388:C388"/>
    <mergeCell ref="M388:N388"/>
    <mergeCell ref="A389:C389"/>
    <mergeCell ref="M389:N389"/>
    <mergeCell ref="B383:K383"/>
    <mergeCell ref="L383:M383"/>
    <mergeCell ref="E384:G384"/>
    <mergeCell ref="H384:N384"/>
    <mergeCell ref="A385:C386"/>
    <mergeCell ref="D385:H385"/>
    <mergeCell ref="I385:N385"/>
    <mergeCell ref="M386:N386"/>
    <mergeCell ref="A377:N377"/>
    <mergeCell ref="A378:N378"/>
    <mergeCell ref="A379:N379"/>
    <mergeCell ref="A380:N380"/>
    <mergeCell ref="A381:N381"/>
    <mergeCell ref="B382:N382"/>
    <mergeCell ref="A373:N373"/>
    <mergeCell ref="A374:N374"/>
    <mergeCell ref="A375:L375"/>
    <mergeCell ref="M375:N375"/>
    <mergeCell ref="A376:L376"/>
    <mergeCell ref="M376:N376"/>
    <mergeCell ref="A368:L368"/>
    <mergeCell ref="M368:N368"/>
    <mergeCell ref="A369:L369"/>
    <mergeCell ref="M369:N369"/>
    <mergeCell ref="A371:N371"/>
    <mergeCell ref="A372:N372"/>
    <mergeCell ref="A362:L362"/>
    <mergeCell ref="M362:N362"/>
    <mergeCell ref="A364:N364"/>
    <mergeCell ref="A365:N365"/>
    <mergeCell ref="A366:N366"/>
    <mergeCell ref="A367:N367"/>
    <mergeCell ref="A357:N357"/>
    <mergeCell ref="A358:N358"/>
    <mergeCell ref="A359:N359"/>
    <mergeCell ref="A360:N360"/>
    <mergeCell ref="A361:L361"/>
    <mergeCell ref="M361:N361"/>
    <mergeCell ref="A352:N352"/>
    <mergeCell ref="A353:N353"/>
    <mergeCell ref="A354:L354"/>
    <mergeCell ref="M354:N354"/>
    <mergeCell ref="A355:L355"/>
    <mergeCell ref="M355:N355"/>
    <mergeCell ref="A347:C347"/>
    <mergeCell ref="M347:N347"/>
    <mergeCell ref="A348:C348"/>
    <mergeCell ref="M348:N348"/>
    <mergeCell ref="A350:N350"/>
    <mergeCell ref="A351:N351"/>
    <mergeCell ref="A344:C344"/>
    <mergeCell ref="M344:N344"/>
    <mergeCell ref="A345:C345"/>
    <mergeCell ref="M345:N345"/>
    <mergeCell ref="A346:C346"/>
    <mergeCell ref="M346:N346"/>
    <mergeCell ref="A341:C341"/>
    <mergeCell ref="M341:N341"/>
    <mergeCell ref="A342:C342"/>
    <mergeCell ref="M342:N342"/>
    <mergeCell ref="A343:C343"/>
    <mergeCell ref="M343:N343"/>
    <mergeCell ref="A338:C339"/>
    <mergeCell ref="D338:H338"/>
    <mergeCell ref="I338:N338"/>
    <mergeCell ref="M339:N339"/>
    <mergeCell ref="A340:C340"/>
    <mergeCell ref="M340:N340"/>
    <mergeCell ref="A334:N334"/>
    <mergeCell ref="B335:N335"/>
    <mergeCell ref="B336:K336"/>
    <mergeCell ref="L336:M336"/>
    <mergeCell ref="E337:G337"/>
    <mergeCell ref="H337:N337"/>
    <mergeCell ref="A329:L329"/>
    <mergeCell ref="M329:N329"/>
    <mergeCell ref="A330:N330"/>
    <mergeCell ref="A331:N331"/>
    <mergeCell ref="A332:N332"/>
    <mergeCell ref="A333:N333"/>
    <mergeCell ref="A324:N324"/>
    <mergeCell ref="A325:N325"/>
    <mergeCell ref="A326:N326"/>
    <mergeCell ref="A327:N327"/>
    <mergeCell ref="A328:L328"/>
    <mergeCell ref="M328:N328"/>
    <mergeCell ref="A319:N319"/>
    <mergeCell ref="A320:N320"/>
    <mergeCell ref="A321:L321"/>
    <mergeCell ref="M321:N321"/>
    <mergeCell ref="A322:L322"/>
    <mergeCell ref="M322:N322"/>
    <mergeCell ref="A314:L314"/>
    <mergeCell ref="M314:N314"/>
    <mergeCell ref="A315:L315"/>
    <mergeCell ref="M315:N315"/>
    <mergeCell ref="A317:N317"/>
    <mergeCell ref="A318:N318"/>
    <mergeCell ref="A308:L308"/>
    <mergeCell ref="M308:N308"/>
    <mergeCell ref="A310:N310"/>
    <mergeCell ref="A311:N311"/>
    <mergeCell ref="A312:N312"/>
    <mergeCell ref="A313:N313"/>
    <mergeCell ref="A303:N303"/>
    <mergeCell ref="A304:N304"/>
    <mergeCell ref="A305:N305"/>
    <mergeCell ref="A306:N306"/>
    <mergeCell ref="A307:L307"/>
    <mergeCell ref="M307:N307"/>
    <mergeCell ref="A299:C299"/>
    <mergeCell ref="M299:N299"/>
    <mergeCell ref="A300:C300"/>
    <mergeCell ref="M300:N300"/>
    <mergeCell ref="A301:C301"/>
    <mergeCell ref="M301:N301"/>
    <mergeCell ref="A296:C296"/>
    <mergeCell ref="M296:N296"/>
    <mergeCell ref="A297:C297"/>
    <mergeCell ref="M297:N297"/>
    <mergeCell ref="A298:C298"/>
    <mergeCell ref="M298:N298"/>
    <mergeCell ref="A293:C293"/>
    <mergeCell ref="M293:N293"/>
    <mergeCell ref="A294:C294"/>
    <mergeCell ref="M294:N294"/>
    <mergeCell ref="A295:C295"/>
    <mergeCell ref="M295:N295"/>
    <mergeCell ref="B289:K289"/>
    <mergeCell ref="L289:M289"/>
    <mergeCell ref="E290:G290"/>
    <mergeCell ref="H290:N290"/>
    <mergeCell ref="A291:C292"/>
    <mergeCell ref="D291:H291"/>
    <mergeCell ref="I291:N291"/>
    <mergeCell ref="M292:N292"/>
    <mergeCell ref="A283:N283"/>
    <mergeCell ref="A284:N284"/>
    <mergeCell ref="A285:N285"/>
    <mergeCell ref="A286:N286"/>
    <mergeCell ref="A287:N287"/>
    <mergeCell ref="B288:N288"/>
    <mergeCell ref="A279:N279"/>
    <mergeCell ref="A280:N280"/>
    <mergeCell ref="A281:L281"/>
    <mergeCell ref="M281:N281"/>
    <mergeCell ref="A282:L282"/>
    <mergeCell ref="M282:N282"/>
    <mergeCell ref="A274:L274"/>
    <mergeCell ref="M274:N274"/>
    <mergeCell ref="A275:L275"/>
    <mergeCell ref="M275:N275"/>
    <mergeCell ref="A277:N277"/>
    <mergeCell ref="A278:N278"/>
    <mergeCell ref="A268:L268"/>
    <mergeCell ref="M268:N268"/>
    <mergeCell ref="A270:N270"/>
    <mergeCell ref="A271:N271"/>
    <mergeCell ref="A272:N272"/>
    <mergeCell ref="A273:N273"/>
    <mergeCell ref="A263:N263"/>
    <mergeCell ref="A264:N264"/>
    <mergeCell ref="A265:N265"/>
    <mergeCell ref="A266:N266"/>
    <mergeCell ref="A267:L267"/>
    <mergeCell ref="M267:N267"/>
    <mergeCell ref="A258:N258"/>
    <mergeCell ref="A259:N259"/>
    <mergeCell ref="A260:L260"/>
    <mergeCell ref="M260:N260"/>
    <mergeCell ref="A261:L261"/>
    <mergeCell ref="M261:N261"/>
    <mergeCell ref="A253:C253"/>
    <mergeCell ref="M253:N253"/>
    <mergeCell ref="A254:C254"/>
    <mergeCell ref="M254:N254"/>
    <mergeCell ref="A256:N256"/>
    <mergeCell ref="A257:N257"/>
    <mergeCell ref="A250:C250"/>
    <mergeCell ref="M250:N250"/>
    <mergeCell ref="A251:C251"/>
    <mergeCell ref="M251:N251"/>
    <mergeCell ref="A252:C252"/>
    <mergeCell ref="M252:N252"/>
    <mergeCell ref="A247:C247"/>
    <mergeCell ref="M247:N247"/>
    <mergeCell ref="A248:C248"/>
    <mergeCell ref="M248:N248"/>
    <mergeCell ref="A249:C249"/>
    <mergeCell ref="M249:N249"/>
    <mergeCell ref="A244:C245"/>
    <mergeCell ref="D244:H244"/>
    <mergeCell ref="I244:N244"/>
    <mergeCell ref="M245:N245"/>
    <mergeCell ref="A246:C246"/>
    <mergeCell ref="M246:N246"/>
    <mergeCell ref="A240:N240"/>
    <mergeCell ref="B241:N241"/>
    <mergeCell ref="B242:K242"/>
    <mergeCell ref="L242:M242"/>
    <mergeCell ref="E243:G243"/>
    <mergeCell ref="H243:N243"/>
    <mergeCell ref="A235:L235"/>
    <mergeCell ref="M235:N235"/>
    <mergeCell ref="A236:N236"/>
    <mergeCell ref="A237:N237"/>
    <mergeCell ref="A238:N238"/>
    <mergeCell ref="A239:N239"/>
    <mergeCell ref="A230:N230"/>
    <mergeCell ref="A231:N231"/>
    <mergeCell ref="A232:N232"/>
    <mergeCell ref="A233:N233"/>
    <mergeCell ref="A234:L234"/>
    <mergeCell ref="M234:N234"/>
    <mergeCell ref="A225:N225"/>
    <mergeCell ref="A226:N226"/>
    <mergeCell ref="A227:L227"/>
    <mergeCell ref="M227:N227"/>
    <mergeCell ref="A228:L228"/>
    <mergeCell ref="M228:N228"/>
    <mergeCell ref="A220:L220"/>
    <mergeCell ref="M220:N220"/>
    <mergeCell ref="A221:L221"/>
    <mergeCell ref="M221:N221"/>
    <mergeCell ref="A223:N223"/>
    <mergeCell ref="A224:N224"/>
    <mergeCell ref="A214:L214"/>
    <mergeCell ref="M214:N214"/>
    <mergeCell ref="A216:N216"/>
    <mergeCell ref="A217:N217"/>
    <mergeCell ref="A218:N218"/>
    <mergeCell ref="A219:N219"/>
    <mergeCell ref="A209:N209"/>
    <mergeCell ref="A210:N210"/>
    <mergeCell ref="A211:N211"/>
    <mergeCell ref="A212:N212"/>
    <mergeCell ref="A213:L213"/>
    <mergeCell ref="M213:N213"/>
    <mergeCell ref="A205:C205"/>
    <mergeCell ref="M205:N205"/>
    <mergeCell ref="A206:C206"/>
    <mergeCell ref="M206:N206"/>
    <mergeCell ref="A207:C207"/>
    <mergeCell ref="M207:N207"/>
    <mergeCell ref="A202:C202"/>
    <mergeCell ref="M202:N202"/>
    <mergeCell ref="A203:C203"/>
    <mergeCell ref="M203:N203"/>
    <mergeCell ref="A204:C204"/>
    <mergeCell ref="M204:N204"/>
    <mergeCell ref="A199:C199"/>
    <mergeCell ref="M199:N199"/>
    <mergeCell ref="A200:C200"/>
    <mergeCell ref="M200:N200"/>
    <mergeCell ref="A201:C201"/>
    <mergeCell ref="M201:N201"/>
    <mergeCell ref="B195:K195"/>
    <mergeCell ref="L195:M195"/>
    <mergeCell ref="E196:G196"/>
    <mergeCell ref="H196:N196"/>
    <mergeCell ref="A197:C198"/>
    <mergeCell ref="D197:H197"/>
    <mergeCell ref="I197:N197"/>
    <mergeCell ref="M198:N198"/>
    <mergeCell ref="A189:N189"/>
    <mergeCell ref="A190:N190"/>
    <mergeCell ref="A191:N191"/>
    <mergeCell ref="A192:N192"/>
    <mergeCell ref="A193:N193"/>
    <mergeCell ref="B194:N194"/>
    <mergeCell ref="A185:N185"/>
    <mergeCell ref="A186:N186"/>
    <mergeCell ref="A187:L187"/>
    <mergeCell ref="M187:N187"/>
    <mergeCell ref="A188:L188"/>
    <mergeCell ref="M188:N188"/>
    <mergeCell ref="A180:L180"/>
    <mergeCell ref="M180:N180"/>
    <mergeCell ref="A181:L181"/>
    <mergeCell ref="M181:N181"/>
    <mergeCell ref="A183:N183"/>
    <mergeCell ref="A184:N184"/>
    <mergeCell ref="A174:L174"/>
    <mergeCell ref="M174:N174"/>
    <mergeCell ref="A176:N176"/>
    <mergeCell ref="A177:N177"/>
    <mergeCell ref="A178:N178"/>
    <mergeCell ref="A179:N179"/>
    <mergeCell ref="A169:N169"/>
    <mergeCell ref="A170:N170"/>
    <mergeCell ref="A171:N171"/>
    <mergeCell ref="A172:N172"/>
    <mergeCell ref="A173:L173"/>
    <mergeCell ref="M173:N173"/>
    <mergeCell ref="A164:N164"/>
    <mergeCell ref="A165:N165"/>
    <mergeCell ref="A166:L166"/>
    <mergeCell ref="M166:N166"/>
    <mergeCell ref="A167:L167"/>
    <mergeCell ref="M167:N167"/>
    <mergeCell ref="A159:C159"/>
    <mergeCell ref="M159:N159"/>
    <mergeCell ref="A160:C160"/>
    <mergeCell ref="M160:N160"/>
    <mergeCell ref="A162:N162"/>
    <mergeCell ref="A163:N163"/>
    <mergeCell ref="A156:C156"/>
    <mergeCell ref="M156:N156"/>
    <mergeCell ref="A157:C157"/>
    <mergeCell ref="M157:N157"/>
    <mergeCell ref="A158:C158"/>
    <mergeCell ref="M158:N158"/>
    <mergeCell ref="A153:C153"/>
    <mergeCell ref="M153:N153"/>
    <mergeCell ref="A154:C154"/>
    <mergeCell ref="M154:N154"/>
    <mergeCell ref="A155:C155"/>
    <mergeCell ref="M155:N155"/>
    <mergeCell ref="A150:C151"/>
    <mergeCell ref="D150:H150"/>
    <mergeCell ref="I150:N150"/>
    <mergeCell ref="M151:N151"/>
    <mergeCell ref="A152:C152"/>
    <mergeCell ref="M152:N152"/>
    <mergeCell ref="A146:N146"/>
    <mergeCell ref="B147:N147"/>
    <mergeCell ref="B148:K148"/>
    <mergeCell ref="L148:M148"/>
    <mergeCell ref="E149:G149"/>
    <mergeCell ref="H149:N149"/>
    <mergeCell ref="A141:L141"/>
    <mergeCell ref="M141:N141"/>
    <mergeCell ref="A142:N142"/>
    <mergeCell ref="A143:N143"/>
    <mergeCell ref="A144:N144"/>
    <mergeCell ref="A145:N145"/>
    <mergeCell ref="A136:N136"/>
    <mergeCell ref="A137:N137"/>
    <mergeCell ref="A138:N138"/>
    <mergeCell ref="A139:N139"/>
    <mergeCell ref="A140:L140"/>
    <mergeCell ref="M140:N140"/>
    <mergeCell ref="A131:N131"/>
    <mergeCell ref="A132:N132"/>
    <mergeCell ref="A133:L133"/>
    <mergeCell ref="M133:N133"/>
    <mergeCell ref="A134:L134"/>
    <mergeCell ref="M134:N134"/>
    <mergeCell ref="A126:L126"/>
    <mergeCell ref="M126:N126"/>
    <mergeCell ref="A127:L127"/>
    <mergeCell ref="M127:N127"/>
    <mergeCell ref="A129:N129"/>
    <mergeCell ref="A130:N130"/>
    <mergeCell ref="A120:L120"/>
    <mergeCell ref="M120:N120"/>
    <mergeCell ref="A122:N122"/>
    <mergeCell ref="A123:N123"/>
    <mergeCell ref="A124:N124"/>
    <mergeCell ref="A125:N125"/>
    <mergeCell ref="A115:N115"/>
    <mergeCell ref="A116:N116"/>
    <mergeCell ref="A117:N117"/>
    <mergeCell ref="A118:N118"/>
    <mergeCell ref="A119:L119"/>
    <mergeCell ref="M119:N119"/>
    <mergeCell ref="A111:C111"/>
    <mergeCell ref="M111:N111"/>
    <mergeCell ref="A112:C112"/>
    <mergeCell ref="M112:N112"/>
    <mergeCell ref="A113:C113"/>
    <mergeCell ref="M113:N113"/>
    <mergeCell ref="A108:C108"/>
    <mergeCell ref="M108:N108"/>
    <mergeCell ref="A109:C109"/>
    <mergeCell ref="M109:N109"/>
    <mergeCell ref="A110:C110"/>
    <mergeCell ref="M110:N110"/>
    <mergeCell ref="A105:C105"/>
    <mergeCell ref="M105:N105"/>
    <mergeCell ref="A106:C106"/>
    <mergeCell ref="M106:N106"/>
    <mergeCell ref="A107:C107"/>
    <mergeCell ref="M107:N107"/>
    <mergeCell ref="B101:K101"/>
    <mergeCell ref="L101:M101"/>
    <mergeCell ref="E102:G102"/>
    <mergeCell ref="H102:N102"/>
    <mergeCell ref="A103:C104"/>
    <mergeCell ref="D103:H103"/>
    <mergeCell ref="I103:N103"/>
    <mergeCell ref="M104:N104"/>
    <mergeCell ref="A95:N95"/>
    <mergeCell ref="A96:N96"/>
    <mergeCell ref="A97:N97"/>
    <mergeCell ref="A98:N98"/>
    <mergeCell ref="A99:N99"/>
    <mergeCell ref="B100:N100"/>
    <mergeCell ref="A91:N91"/>
    <mergeCell ref="A92:N92"/>
    <mergeCell ref="A93:L93"/>
    <mergeCell ref="M93:N93"/>
    <mergeCell ref="A94:L94"/>
    <mergeCell ref="M94:N94"/>
    <mergeCell ref="A86:L86"/>
    <mergeCell ref="M86:N86"/>
    <mergeCell ref="A87:L87"/>
    <mergeCell ref="M87:N87"/>
    <mergeCell ref="A89:N89"/>
    <mergeCell ref="A90:N90"/>
    <mergeCell ref="A80:L80"/>
    <mergeCell ref="M80:N80"/>
    <mergeCell ref="A82:N82"/>
    <mergeCell ref="A83:N83"/>
    <mergeCell ref="A84:N84"/>
    <mergeCell ref="A85:N85"/>
    <mergeCell ref="A75:N75"/>
    <mergeCell ref="A76:N76"/>
    <mergeCell ref="A77:N77"/>
    <mergeCell ref="A78:N78"/>
    <mergeCell ref="A79:L79"/>
    <mergeCell ref="M79:N79"/>
    <mergeCell ref="A70:N70"/>
    <mergeCell ref="A71:N71"/>
    <mergeCell ref="A72:L72"/>
    <mergeCell ref="M72:N72"/>
    <mergeCell ref="A73:L73"/>
    <mergeCell ref="M73:N73"/>
    <mergeCell ref="A65:C65"/>
    <mergeCell ref="M65:N65"/>
    <mergeCell ref="A66:C66"/>
    <mergeCell ref="M66:N66"/>
    <mergeCell ref="A68:N68"/>
    <mergeCell ref="A69:N69"/>
    <mergeCell ref="A62:C62"/>
    <mergeCell ref="M62:N62"/>
    <mergeCell ref="A63:C63"/>
    <mergeCell ref="M63:N63"/>
    <mergeCell ref="A64:C64"/>
    <mergeCell ref="M64:N64"/>
    <mergeCell ref="A59:C59"/>
    <mergeCell ref="M59:N59"/>
    <mergeCell ref="A60:C60"/>
    <mergeCell ref="M60:N60"/>
    <mergeCell ref="A61:C61"/>
    <mergeCell ref="M61:N61"/>
    <mergeCell ref="A56:C57"/>
    <mergeCell ref="D56:H56"/>
    <mergeCell ref="I56:N56"/>
    <mergeCell ref="M57:N57"/>
    <mergeCell ref="A58:C58"/>
    <mergeCell ref="M58:N58"/>
    <mergeCell ref="A52:N52"/>
    <mergeCell ref="B53:N53"/>
    <mergeCell ref="B54:K54"/>
    <mergeCell ref="L54:M54"/>
    <mergeCell ref="E55:G55"/>
    <mergeCell ref="H55:N55"/>
    <mergeCell ref="A47:L47"/>
    <mergeCell ref="M47:N47"/>
    <mergeCell ref="A48:N48"/>
    <mergeCell ref="A49:N49"/>
    <mergeCell ref="A50:N50"/>
    <mergeCell ref="A51:N51"/>
    <mergeCell ref="A42:N42"/>
    <mergeCell ref="A43:N43"/>
    <mergeCell ref="A44:N44"/>
    <mergeCell ref="A45:N45"/>
    <mergeCell ref="A46:L46"/>
    <mergeCell ref="M46:N46"/>
    <mergeCell ref="A37:N37"/>
    <mergeCell ref="A38:N38"/>
    <mergeCell ref="A39:L39"/>
    <mergeCell ref="M39:N39"/>
    <mergeCell ref="A40:L40"/>
    <mergeCell ref="M40:N40"/>
    <mergeCell ref="A32:L32"/>
    <mergeCell ref="M32:N32"/>
    <mergeCell ref="A33:L33"/>
    <mergeCell ref="M33:N33"/>
    <mergeCell ref="A35:N35"/>
    <mergeCell ref="A36:N36"/>
    <mergeCell ref="A26:L26"/>
    <mergeCell ref="M26:N26"/>
    <mergeCell ref="A28:N28"/>
    <mergeCell ref="A29:N29"/>
    <mergeCell ref="A30:N30"/>
    <mergeCell ref="A31:N31"/>
    <mergeCell ref="A21:N21"/>
    <mergeCell ref="A22:N22"/>
    <mergeCell ref="A23:N23"/>
    <mergeCell ref="A24:N24"/>
    <mergeCell ref="A25:L25"/>
    <mergeCell ref="M25:N25"/>
    <mergeCell ref="A17:C17"/>
    <mergeCell ref="M17:N17"/>
    <mergeCell ref="A18:C18"/>
    <mergeCell ref="M18:N18"/>
    <mergeCell ref="A19:C19"/>
    <mergeCell ref="M19:N19"/>
    <mergeCell ref="A14:C14"/>
    <mergeCell ref="M14:N14"/>
    <mergeCell ref="A15:C15"/>
    <mergeCell ref="M15:N15"/>
    <mergeCell ref="A16:C16"/>
    <mergeCell ref="M16:N16"/>
    <mergeCell ref="A11:C11"/>
    <mergeCell ref="M11:N11"/>
    <mergeCell ref="A12:C12"/>
    <mergeCell ref="M12:N12"/>
    <mergeCell ref="A13:C13"/>
    <mergeCell ref="M13:N13"/>
    <mergeCell ref="B7:K7"/>
    <mergeCell ref="L7:M7"/>
    <mergeCell ref="E8:G8"/>
    <mergeCell ref="H8:N8"/>
    <mergeCell ref="A9:C10"/>
    <mergeCell ref="D9:H9"/>
    <mergeCell ref="I9:N9"/>
    <mergeCell ref="M10:N10"/>
    <mergeCell ref="A1:N1"/>
    <mergeCell ref="A2:N2"/>
    <mergeCell ref="A3:N3"/>
    <mergeCell ref="A4:N4"/>
    <mergeCell ref="A5:N5"/>
    <mergeCell ref="B6:N6"/>
  </mergeCells>
  <pageMargins left="0.51181102362204722" right="0.39370078740157483" top="0.35433070866141736" bottom="0.31496062992125984" header="0.31496062992125984" footer="0.31496062992125984"/>
  <pageSetup paperSize="9" scale="74" orientation="portrait" verticalDpi="599" r:id="rId1"/>
  <rowBreaks count="60" manualBreakCount="60">
    <brk id="34" max="13" man="1"/>
    <brk id="47" max="13" man="1"/>
    <brk id="81" max="13" man="1"/>
    <brk id="94" max="13" man="1"/>
    <brk id="128" max="13" man="1"/>
    <brk id="141" max="13" man="1"/>
    <brk id="175" max="13" man="1"/>
    <brk id="188" max="13" man="1"/>
    <brk id="222" max="13" man="1"/>
    <brk id="235" max="13" man="1"/>
    <brk id="269" max="13" man="1"/>
    <brk id="282" max="13" man="1"/>
    <brk id="316" max="13" man="1"/>
    <brk id="329" max="13" man="1"/>
    <brk id="363" max="13" man="1"/>
    <brk id="376" max="13" man="1"/>
    <brk id="410" max="13" man="1"/>
    <brk id="423" max="13" man="1"/>
    <brk id="457" max="13" man="1"/>
    <brk id="470" max="13" man="1"/>
    <brk id="504" max="13" man="1"/>
    <brk id="517" max="13" man="1"/>
    <brk id="551" max="13" man="1"/>
    <brk id="564" max="13" man="1"/>
    <brk id="598" max="13" man="1"/>
    <brk id="611" max="13" man="1"/>
    <brk id="645" max="13" man="1"/>
    <brk id="658" max="13" man="1"/>
    <brk id="692" max="13" man="1"/>
    <brk id="705" max="13" man="1"/>
    <brk id="739" max="13" man="1"/>
    <brk id="752" max="13" man="1"/>
    <brk id="786" max="13" man="1"/>
    <brk id="799" max="13" man="1"/>
    <brk id="833" max="13" man="1"/>
    <brk id="846" max="13" man="1"/>
    <brk id="880" max="13" man="1"/>
    <brk id="893" max="13" man="1"/>
    <brk id="927" max="13" man="1"/>
    <brk id="940" max="13" man="1"/>
    <brk id="974" max="13" man="1"/>
    <brk id="987" max="13" man="1"/>
    <brk id="1021" max="13" man="1"/>
    <brk id="1034" max="13" man="1"/>
    <brk id="1068" max="13" man="1"/>
    <brk id="1081" max="13" man="1"/>
    <brk id="1115" max="13" man="1"/>
    <brk id="1128" max="13" man="1"/>
    <brk id="1162" max="13" man="1"/>
    <brk id="1175" max="13" man="1"/>
    <brk id="1209" max="13" man="1"/>
    <brk id="1222" max="13" man="1"/>
    <brk id="1256" max="13" man="1"/>
    <brk id="1269" max="13" man="1"/>
    <brk id="1303" max="13" man="1"/>
    <brk id="1316" max="13" man="1"/>
    <brk id="1350" max="13" man="1"/>
    <brk id="1363" max="13" man="1"/>
    <brk id="1397" max="13" man="1"/>
    <brk id="141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Acompanhamento</vt:lpstr>
      <vt:lpstr>Ficha Modelo</vt:lpstr>
      <vt:lpstr>Boletins</vt:lpstr>
      <vt:lpstr>Acompanhamento!Area_de_impressao</vt:lpstr>
      <vt:lpstr>Boletins!Area_de_impressao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Felipe Borges</cp:lastModifiedBy>
  <cp:lastPrinted>2019-04-03T17:28:45Z</cp:lastPrinted>
  <dcterms:created xsi:type="dcterms:W3CDTF">2013-04-02T19:46:20Z</dcterms:created>
  <dcterms:modified xsi:type="dcterms:W3CDTF">2020-07-17T21:26:23Z</dcterms:modified>
</cp:coreProperties>
</file>